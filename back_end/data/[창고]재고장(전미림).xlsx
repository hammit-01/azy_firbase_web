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SUS\.vscode\azy_firbase_web\back_end\data\"/>
    </mc:Choice>
  </mc:AlternateContent>
  <x:bookViews>
    <x:workbookView xWindow="0" yWindow="0" windowWidth="12350" windowHeight="9860" tabRatio="500" activeTab="1"/>
  </x:bookViews>
  <x:sheets>
    <x:sheet name="품목검색" sheetId="1" state="hidden" r:id="rId4"/>
    <x:sheet name="재고장" sheetId="2" r:id="rId5"/>
    <x:sheet name="시트107" sheetId="3" state="hidden" r:id="rId6"/>
    <x:sheet name="집중판매" sheetId="4" state="hidden" r:id="rId7"/>
    <x:sheet name="창고검색" sheetId="5" state="hidden" r:id="rId8"/>
  </x:sheets>
  <x:definedNames>
    <x:definedName name="출력범위" localSheetId="3">#REF!</x:definedName>
    <x:definedName name="창고검색">재고장!$G$1</x:definedName>
    <x:definedName name="찾을값" localSheetId="0">품목검색!$A$2</x:definedName>
    <x:definedName name="창고검색" localSheetId="3">집중판매!$G$1</x:definedName>
    <x:definedName name="창고검색범위">#REF!</x:definedName>
    <x:definedName name="찾을값">창고검색!$A$2</x:definedName>
    <x:definedName name="찾을범위">#REF!</x:definedName>
    <x:definedName name="찾을범위" localSheetId="3">#REF!</x:definedName>
    <x:definedName name="창고검색범위" localSheetId="3">#REF!</x:definedName>
    <x:definedName name="출력범위">#REF!</x:definedName>
    <x:definedName name="_xlnm._FilterDatabase" localSheetId="1" hidden="1">재고장!$A$1:$K$733</x:definedName>
    <x:definedName name="_xlnm._FilterDatabase" localSheetId="3" hidden="1">집중판매!$A$1:$Z$70</x:definedName>
    <x:definedName name="Z_E98FB0AE_4AAE_4221_8044_01E50ED33CD7_.wvu.FilterData" localSheetId="1" hidden="1">재고장!$A$1:$I$1</x:definedName>
    <x:definedName name="Z_E98FB0AE_4AAE_4221_8044_01E50ED33CD7_.wvu.FilterData" localSheetId="3" hidden="1">집중판매!$A$1:$I$1</x:definedName>
    <x:definedName name="Z_C6CA67F6_F177_4316_85CA_BCE7BCAAD932_.wvu.FilterData" localSheetId="1" hidden="1">재고장!$A$1:$I$1</x:definedName>
    <x:definedName name="Z_C6CA67F6_F177_4316_85CA_BCE7BCAAD932_.wvu.FilterData" localSheetId="3" hidden="1">집중판매!$A$1:$I$70</x:definedName>
    <x:definedName name="Z_D0B77543_6DDC_40C9_81D4_0D98BCCCB5A5_.wvu.FilterData" localSheetId="1" hidden="1">재고장!$B$1:$G$1</x:definedName>
    <x:definedName name="Z_D0B77543_6DDC_40C9_81D4_0D98BCCCB5A5_.wvu.FilterData" localSheetId="3" hidden="1">집중판매!$B$1:$G$70</x:definedName>
    <x:definedName name="Z_D188613E_62E0_4DEC_BE03_D934EEC594BC_.wvu.FilterData" localSheetId="1" hidden="1">재고장!$A$1:$I$1</x:definedName>
    <x:definedName name="Z_D188613E_62E0_4DEC_BE03_D934EEC594BC_.wvu.FilterData" localSheetId="3" hidden="1">집중판매!$A$1:$I$70</x:definedName>
    <x:definedName name="Z_506256C7_A4D4_4B28_A962_A55054A2934C_.wvu.FilterData" localSheetId="1" hidden="1">재고장!$A$1:$I$1</x:definedName>
    <x:definedName name="Z_506256C7_A4D4_4B28_A962_A55054A2934C_.wvu.FilterData" localSheetId="3" hidden="1">집중판매!$A$1:$I$70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/>
  </x:authors>
  <x:commentList>
    <x:comment ref="H1:H1" authorId="0">
      <x:text/>
    </x:comment>
  </x:commentList>
</x:comments>
</file>

<file path=xl/comments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/>
  </x:authors>
  <x:commentList>
    <x:comment ref="H1:H1" authorId="0">
      <x:text/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<x:sst xmlns:r="http://schemas.openxmlformats.org/officeDocument/2006/relationships" xmlns:c="http://schemas.openxmlformats.org/drawingml/2006/chart" xmlns:x="http://schemas.openxmlformats.org/spreadsheetml/2006/main" count="7215" uniqueCount="1135">
  <x:si>
    <x:t>CS,고려,삼진2,신우,제니스,한라동탄</x:t>
  </x:si>
  <x:si>
    <x:t>SWC,대재,삼진2,에이스기흥,제니스</x:t>
  </x:si>
  <x:si>
    <x:t>SWC,삼진2,신우,에이스처인,제니스</x:t>
  </x:si>
  <x:si>
    <x:t>HDMUDALA23552300</x:t>
  </x:si>
  <x:si>
    <x:t>ONEYRICG98278400</x:t>
  </x:si>
  <x:si>
    <x:t>SMLMVAN6A1109500</x:t>
  </x:si>
  <x:si>
    <x:t>ONEYRICG73841700</x:t>
  </x:si>
  <x:si>
    <x:t>EGLV602500022653</x:t>
  </x:si>
  <x:si>
    <x:t>HDMUDALA36775100</x:t>
  </x:si>
  <x:si>
    <x:t>ONEYRICG73031500</x:t>
  </x:si>
  <x:si>
    <x:t>HDMUDALA89477200</x:t>
  </x:si>
  <x:si>
    <x:t>HDMUDALA74747100</x:t>
  </x:si>
  <x:si>
    <x:t>ONEYRICFQJ250600</x:t>
  </x:si>
  <x:si>
    <x:t>HDMUDALA58263200</x:t>
  </x:si>
  <x:si>
    <x:t>HDMUDALA61342900</x:t>
  </x:si>
  <x:si>
    <x:t>SMLMVAN6A0605500</x:t>
  </x:si>
  <x:si>
    <x:t>ONEYRICGC2359600</x:t>
  </x:si>
  <x:si>
    <x:t>ONEYRICG05060900</x:t>
  </x:si>
  <x:si>
    <x:t>HDMUDALA78886800</x:t>
  </x:si>
  <x:si>
    <x:t>HDMUDALA86191700</x:t>
  </x:si>
  <x:si>
    <x:t>HDMUDALA25629200</x:t>
  </x:si>
  <x:si>
    <x:t>ONEYRICG83894900</x:t>
  </x:si>
  <x:si>
    <x:t>ONEYRICG76673600</x:t>
  </x:si>
  <x:si>
    <x:t>HDMUDALA67822000</x:t>
  </x:si>
  <x:si>
    <x:t>HLCUTOR251143573</x:t>
  </x:si>
  <x:si>
    <x:t>HDMUSAOA20301200</x:t>
  </x:si>
  <x:si>
    <x:t>ONEYBNEE08417700</x:t>
  </x:si>
  <x:si>
    <x:t>HDMUDALA54794300</x:t>
  </x:si>
  <x:si>
    <x:t>SMLMVAN6A0821500</x:t>
  </x:si>
  <x:si>
    <x:t>HDMUDALA68405600</x:t>
  </x:si>
  <x:si>
    <x:t>HDMUDALA92688800</x:t>
  </x:si>
  <x:si>
    <x:t>HDMUDALA86998400</x:t>
  </x:si>
  <x:si>
    <x:t>ONEYRICFL7106700</x:t>
  </x:si>
  <x:si>
    <x:t>HDMUDALA23209200</x:t>
  </x:si>
  <x:si>
    <x:t>ONEYBNEG00242400</x:t>
  </x:si>
  <x:si>
    <x:t>ONEYRICFKV444800</x:t>
  </x:si>
  <x:si>
    <x:t>HDMUDALA06841200</x:t>
  </x:si>
  <x:si>
    <x:t>ONEYBNEF06805700</x:t>
  </x:si>
  <x:si>
    <x:t>ONEYRICFPF188600</x:t>
  </x:si>
  <x:si>
    <x:t>HDMUDALA89164200</x:t>
  </x:si>
  <x:si>
    <x:t>ONEYRICG92268400</x:t>
  </x:si>
  <x:si>
    <x:t>ONEYRICG92386500</x:t>
  </x:si>
  <x:si>
    <x:t>ONEYBCNF09300500</x:t>
  </x:si>
  <x:si>
    <x:t>ONEYMELF02080700</x:t>
  </x:si>
  <x:si>
    <x:t>HDMUDALA35177300</x:t>
  </x:si>
  <x:si>
    <x:t>HDMUSAOA97355600</x:t>
  </x:si>
  <x:si>
    <x:t>HDMUDALA33344700</x:t>
  </x:si>
  <x:si>
    <x:t>HLCUBSC2511CFTI0</x:t>
  </x:si>
  <x:si>
    <x:t>HDMUDALA89694100</x:t>
  </x:si>
  <x:si>
    <x:t>ONEYMELF01783900</x:t>
  </x:si>
  <x:si>
    <x:t>HDMUDALA26631600</x:t>
  </x:si>
  <x:si>
    <x:t>SMLMVAN6A0749700</x:t>
  </x:si>
  <x:si>
    <x:t>HDMUDALA69511600</x:t>
  </x:si>
  <x:si>
    <x:t>HDMUDALA31401400</x:t>
  </x:si>
  <x:si>
    <x:t>EGLV602500023919</x:t>
  </x:si>
  <x:si>
    <x:t>HDMUSAOA20234500</x:t>
  </x:si>
  <x:si>
    <x:t>ONEYBNEF00346800</x:t>
  </x:si>
  <x:si>
    <x:t>ONEYRICFPF919800</x:t>
  </x:si>
  <x:si>
    <x:t>ONEYRICFML269700</x:t>
  </x:si>
  <x:si>
    <x:t>ONEYRICFCP873400</x:t>
  </x:si>
  <x:si>
    <x:t>ONEYBNEF01038700</x:t>
  </x:si>
  <x:si>
    <x:t>ONEYBNEF06462600</x:t>
  </x:si>
  <x:si>
    <x:t>HDMUDALA54377000</x:t>
  </x:si>
  <x:si>
    <x:t>ONEYRICG28655300</x:t>
  </x:si>
  <x:si>
    <x:t>ONEYSYDF01218300</x:t>
  </x:si>
  <x:si>
    <x:t>ZIMUSYD000032455</x:t>
  </x:si>
  <x:si>
    <x:t>HDMUDALA07597900</x:t>
  </x:si>
  <x:si>
    <x:t>ONEYRICFPF184900</x:t>
  </x:si>
  <x:si>
    <x:t>ONEYMELF02446600</x:t>
  </x:si>
  <x:si>
    <x:t>ONEYRICFX8606900</x:t>
  </x:si>
  <x:si>
    <x:t>ONEYRICFPZ851500</x:t>
  </x:si>
  <x:si>
    <x:t>HLCUSYD250829642</x:t>
  </x:si>
  <x:si>
    <x:t>EGLV602500010604</x:t>
  </x:si>
  <x:si>
    <x:t>ONEYBNEF08717400</x:t>
  </x:si>
  <x:si>
    <x:t>ONEYMELF01322500</x:t>
  </x:si>
  <x:si>
    <x:t>ONEYRICFLM285500</x:t>
  </x:si>
  <x:si>
    <x:t>HLCUBSC2510CHOH0</x:t>
  </x:si>
  <x:si>
    <x:t>ONEYMELF08569400</x:t>
  </x:si>
  <x:si>
    <x:t>EGLV602400008357</x:t>
  </x:si>
  <x:si>
    <x:t>HDMUDALA45120900</x:t>
  </x:si>
  <x:si>
    <x:t>ONEYRICFY2533300</x:t>
  </x:si>
  <x:si>
    <x:t>ZIMUSYD000037390</x:t>
  </x:si>
  <x:si>
    <x:t>STANBROKE(WAGYU)</x:t>
  </x:si>
  <x:si>
    <x:t>HLCUSYD260114197</x:t>
  </x:si>
  <x:si>
    <x:t>ONEYBNEG00693700</x:t>
  </x:si>
  <x:si>
    <x:t>ONEYBNEG01318900</x:t>
  </x:si>
  <x:si>
    <x:t>HDMUDALA91369800</x:t>
  </x:si>
  <x:si>
    <x:t>ONEYBNEF03960600</x:t>
  </x:si>
  <x:si>
    <x:t>HDMUHAMA20637400</x:t>
  </x:si>
  <x:si>
    <x:t>HLCUSYD260147011</x:t>
  </x:si>
  <x:si>
    <x:t>ONEYRICG05082600</x:t>
  </x:si>
  <x:si>
    <x:t>ONEYRICFAS498800</x:t>
  </x:si>
  <x:si>
    <x:t>ONEYRICFQJ206700</x:t>
  </x:si>
  <x:si>
    <x:t>ONEYMELG00236900</x:t>
  </x:si>
  <x:si>
    <x:t>ONEYBNEF09830800</x:t>
  </x:si>
  <x:si>
    <x:t>ONEYRICFP4854400</x:t>
  </x:si>
  <x:si>
    <x:t>ONEYBNEF09181700</x:t>
  </x:si>
  <x:si>
    <x:t>ONEYRICFQJ434300</x:t>
  </x:si>
  <x:si>
    <x:t>ONEYRICFPW778300</x:t>
  </x:si>
  <x:si>
    <x:t>HDMUDALA19984400</x:t>
  </x:si>
  <x:si>
    <x:t>ONEYBCNG01068900</x:t>
  </x:si>
  <x:si>
    <x:t>ONEYRICG35234800</x:t>
  </x:si>
  <x:si>
    <x:t>ONEYRICF96361800</x:t>
  </x:si>
  <x:si>
    <x:t>ONEYRICFPR571500</x:t>
  </x:si>
  <x:si>
    <x:t>ONEYRICGA4051900</x:t>
  </x:si>
  <x:si>
    <x:t>ONEYSYDE05994300</x:t>
  </x:si>
  <x:si>
    <x:t>HDMUDALA45433900</x:t>
  </x:si>
  <x:si>
    <x:t>ONEYRICEMJ043800</x:t>
  </x:si>
  <x:si>
    <x:t>ONEYBNEF08779500</x:t>
  </x:si>
  <x:si>
    <x:t>ONEYRICFQB866600</x:t>
  </x:si>
  <x:si>
    <x:t>ONEYRICG02220400</x:t>
  </x:si>
  <x:si>
    <x:t>ONEYRICETP163800</x:t>
  </x:si>
  <x:si>
    <x:t>ONEYRICFL0570500</x:t>
  </x:si>
  <x:si>
    <x:t>ONEYRICFC1901400</x:t>
  </x:si>
  <x:si>
    <x:t>ONEYRICFNW212500</x:t>
  </x:si>
  <x:si>
    <x:t>ONEYMELF03659600</x:t>
  </x:si>
  <x:si>
    <x:t>ONEYBNEG00166900</x:t>
  </x:si>
  <x:si>
    <x:t>ONEYSCLG01023700</x:t>
  </x:si>
  <x:si>
    <x:t>ONEYRICESU250900</x:t>
  </x:si>
  <x:si>
    <x:t>HDMUDALA59972200</x:t>
  </x:si>
  <x:si>
    <x:t>HDMUDALA86012900</x:t>
  </x:si>
  <x:si>
    <x:t>HLCUSYD260216632</x:t>
  </x:si>
  <x:si>
    <x:t>ONEYSYDF05790500</x:t>
  </x:si>
  <x:si>
    <x:t>ONEYRICFCW257500</x:t>
  </x:si>
  <x:si>
    <x:t>ONEYRICEPU692900</x:t>
  </x:si>
  <x:si>
    <x:t>ONEYRICFPG715300</x:t>
  </x:si>
  <x:si>
    <x:t>HDMUDALA47477400</x:t>
  </x:si>
  <x:si>
    <x:t>ZIMUSYD000034729</x:t>
  </x:si>
  <x:si>
    <x:t>HLCUBSC2510BPRJ6</x:t>
  </x:si>
  <x:si>
    <x:t>HDMUDALA32198700</x:t>
  </x:si>
  <x:si>
    <x:t>HDMUDALA69331200</x:t>
  </x:si>
  <x:si>
    <x:t>HLCUME3250718070</x:t>
  </x:si>
  <x:si>
    <x:t>HDMUDALA66488500</x:t>
  </x:si>
  <x:si>
    <x:t>HDMUDALA40052600</x:t>
  </x:si>
  <x:si>
    <x:t>ONEYRICGA4054500</x:t>
  </x:si>
  <x:si>
    <x:t>ONEYRICFC9001300</x:t>
  </x:si>
  <x:si>
    <x:t>ONEYRICFJR657400</x:t>
  </x:si>
  <x:si>
    <x:t>HDMUDALA35893900</x:t>
  </x:si>
  <x:si>
    <x:t>ONEYRICERU940700</x:t>
  </x:si>
  <x:si>
    <x:t>ONEYRICFDW954300</x:t>
  </x:si>
  <x:si>
    <x:t>ONEYBNEF08974900</x:t>
  </x:si>
  <x:si>
    <x:t>ONEYSYDF04590900</x:t>
  </x:si>
  <x:si>
    <x:t>HDMUDALA77542900</x:t>
  </x:si>
  <x:si>
    <x:t>HDMUDALA66890500</x:t>
  </x:si>
  <x:si>
    <x:t>HDMUDALA12324800</x:t>
  </x:si>
  <x:si>
    <x:t>ONEYRICEMJ127400</x:t>
  </x:si>
  <x:si>
    <x:t>HDMUDALA56920700</x:t>
  </x:si>
  <x:si>
    <x:t>HDMUDALA42312300</x:t>
  </x:si>
  <x:si>
    <x:t>ONEYRICG84200500</x:t>
  </x:si>
  <x:si>
    <x:t>HDMUDALA87110300</x:t>
  </x:si>
  <x:si>
    <x:t>ONEYBNEG00602400</x:t>
  </x:si>
  <x:si>
    <x:t>ONEYBNEF09011600</x:t>
  </x:si>
  <x:si>
    <x:t>ONEYRICEW1902600</x:t>
  </x:si>
  <x:si>
    <x:t>ONEYBNEF07669900</x:t>
  </x:si>
  <x:si>
    <x:t>SMLMVAN5A3531500</x:t>
  </x:si>
  <x:si>
    <x:t>엘피스매입분(매입가15900)</x:t>
  </x:si>
  <x:si>
    <x:t>ONEYRICFMN151600</x:t>
  </x:si>
  <x:si>
    <x:t>EGLV602500023064</x:t>
  </x:si>
  <x:si>
    <x:t>HDMUDALA91424500</x:t>
  </x:si>
  <x:si>
    <x:t>HDMUDALA83778100</x:t>
  </x:si>
  <x:si>
    <x:t>ONEYRICG27730300</x:t>
  </x:si>
  <x:si>
    <x:t>ONEYMELF07640700</x:t>
  </x:si>
  <x:si>
    <x:t>HDMUDALA42221500</x:t>
  </x:si>
  <x:si>
    <x:t>ONEYRICFY7960500</x:t>
  </x:si>
  <x:si>
    <x:t>ONEYRICG63547900</x:t>
  </x:si>
  <x:si>
    <x:t>ONEYBNEF02708500</x:t>
  </x:si>
  <x:si>
    <x:t>ONEYRICFPE520900</x:t>
  </x:si>
  <x:si>
    <x:t>HDMUDALA43337300</x:t>
  </x:si>
  <x:si>
    <x:t>ONEYRICFNS366600</x:t>
  </x:si>
  <x:si>
    <x:t>ONEYBNEF09428400</x:t>
  </x:si>
  <x:si>
    <x:t>HDMUDALA40667600</x:t>
  </x:si>
  <x:si>
    <x:t>HDMUDALA51981700</x:t>
  </x:si>
  <x:si>
    <x:t>ONEYRICFNF230600</x:t>
  </x:si>
  <x:si>
    <x:t>ONEYRICEHP993400</x:t>
  </x:si>
  <x:si>
    <x:t>ONEYAKLF13450800</x:t>
  </x:si>
  <x:si>
    <x:t>HLCUBSC2601AZLY0</x:t>
  </x:si>
  <x:si>
    <x:t>ONEYRICFDY079300</x:t>
  </x:si>
  <x:si>
    <x:t>EGLV601500050675</x:t>
  </x:si>
  <x:si>
    <x:t>EGLV601500062410</x:t>
  </x:si>
  <x:si>
    <x:t>HDMUDALA22788400</x:t>
  </x:si>
  <x:si>
    <x:t>HDMUDALA95455200</x:t>
  </x:si>
  <x:si>
    <x:t>ONEYBNEF09066900</x:t>
  </x:si>
  <x:si>
    <x:t>ONEYRICFNU354300</x:t>
  </x:si>
  <x:si>
    <x:t>ONEYRICETD522400</x:t>
  </x:si>
  <x:si>
    <x:t>ONEYRICG45548300</x:t>
  </x:si>
  <x:si>
    <x:t>ONEYRICFNU351700</x:t>
  </x:si>
  <x:si>
    <x:t>HLCUSYD260146878</x:t>
  </x:si>
  <x:si>
    <x:t>ONEYRICFEH179600</x:t>
  </x:si>
  <x:si>
    <x:t>HDMUDALA03852700</x:t>
  </x:si>
  <x:si>
    <x:t>ONEYRICFGM570600</x:t>
  </x:si>
  <x:si>
    <x:t>ONEYRICG07463400</x:t>
  </x:si>
  <x:si>
    <x:t>ONEYRICFLM297800</x:t>
  </x:si>
  <x:si>
    <x:t>EGLV602500024312</x:t>
  </x:si>
  <x:si>
    <x:t>ONEYRICEPA447500</x:t>
  </x:si>
  <x:si>
    <x:t>ONEYRICG53756300</x:t>
  </x:si>
  <x:si>
    <x:t>ONEYRICG40494500</x:t>
  </x:si>
  <x:si>
    <x:t>ONEYRICFJE835500</x:t>
  </x:si>
  <x:si>
    <x:t>ONEYBNEE07388600</x:t>
  </x:si>
  <x:si>
    <x:t>EGLV602500013913</x:t>
  </x:si>
  <x:si>
    <x:t>HLCUSYD260114260</x:t>
  </x:si>
  <x:si>
    <x:t>ONEYRICG40501800</x:t>
  </x:si>
  <x:si>
    <x:t>EGLV602500016653</x:t>
  </x:si>
  <x:si>
    <x:t>ONEYRICFKC057700</x:t>
  </x:si>
  <x:si>
    <x:t>ONEYRICFLM284400</x:t>
  </x:si>
  <x:si>
    <x:t>HDMUDALA02592400</x:t>
  </x:si>
  <x:si>
    <x:t>HDMUDALA66522800</x:t>
  </x:si>
  <x:si>
    <x:t>HDMUDALA60555200</x:t>
  </x:si>
  <x:si>
    <x:t>HDMUDALA48888600</x:t>
  </x:si>
  <x:si>
    <x:t>HDMUDALA70325000</x:t>
  </x:si>
  <x:si>
    <x:t>ONEYRICG27733600</x:t>
  </x:si>
  <x:si>
    <x:t>ONEYRICEPF273700</x:t>
  </x:si>
  <x:si>
    <x:t>ONEYRICESN263800</x:t>
  </x:si>
  <x:si>
    <x:t>HDMUDALA80304800</x:t>
  </x:si>
  <x:si>
    <x:t>ONEYRICFLS007300</x:t>
  </x:si>
  <x:si>
    <x:t>ONEYRICF37604300</x:t>
  </x:si>
  <x:si>
    <x:t>ONEYBNEE08168300</x:t>
  </x:si>
  <x:si>
    <x:t>HDMUDALA52053200</x:t>
  </x:si>
  <x:si>
    <x:t>ONEYRICFLA297500</x:t>
  </x:si>
  <x:si>
    <x:t>ONEYRICFFN084600</x:t>
  </x:si>
  <x:si>
    <x:t>신우,에이스처인,오로라,제니스</x:t>
  </x:si>
  <x:si>
    <x:t>ONEYRICFLF279300</x:t>
  </x:si>
  <x:si>
    <x:t>HDMUDALA69839800</x:t>
  </x:si>
  <x:si>
    <x:t>HDMUDALA95328600</x:t>
  </x:si>
  <x:si>
    <x:t>HDMUDALA10232400</x:t>
  </x:si>
  <x:si>
    <x:t>ONEYRICF14586700</x:t>
  </x:si>
  <x:si>
    <x:t>ONEYRICG81823600</x:t>
  </x:si>
  <x:si>
    <x:t>HDMUDALA86239100</x:t>
  </x:si>
  <x:si>
    <x:t>HDMUDALA30940000</x:t>
  </x:si>
  <x:si>
    <x:t>HDMUDALA51218400</x:t>
  </x:si>
  <x:si>
    <x:t>HDMUDALA02365400</x:t>
  </x:si>
  <x:si>
    <x:t>HDMUDALA23547700</x:t>
  </x:si>
  <x:si>
    <x:t>강동1,대청,오로라,제니스,효성</x:t>
  </x:si>
  <x:si>
    <x:t>HDMUDALA08409800</x:t>
  </x:si>
  <x:si>
    <x:t>HDMUDALA06039600</x:t>
  </x:si>
  <x:si>
    <x:t>ONEYRICF55509700</x:t>
  </x:si>
  <x:si>
    <x:t>ONEYRICFKZ672800</x:t>
  </x:si>
  <x:si>
    <x:t>HDMUDALA73231700</x:t>
  </x:si>
  <x:si>
    <x:t>ONEYRICFJE836600</x:t>
  </x:si>
  <x:si>
    <x:t>ONEYRICF90154900</x:t>
  </x:si>
  <x:si>
    <x:t>ONEYRICF91975700</x:t>
  </x:si>
  <x:si>
    <x:t>HDMUDALA11145000</x:t>
  </x:si>
  <x:si>
    <x:t>ONEYRICF81089900</x:t>
  </x:si>
  <x:si>
    <x:t>ONEYRICERV005700</x:t>
  </x:si>
  <x:si>
    <x:t>HDMUDALA63628000</x:t>
  </x:si>
  <x:si>
    <x:t>HDMUDALA90329800</x:t>
  </x:si>
  <x:si>
    <x:t>ONEYBNEF00562800</x:t>
  </x:si>
  <x:si>
    <x:t>ONEYRICF96253800</x:t>
  </x:si>
  <x:si>
    <x:t>ONEYRICEPL381400</x:t>
  </x:si>
  <x:si>
    <x:t>HDMUDALA49631000</x:t>
  </x:si>
  <x:si>
    <x:t>ONEYRICG66334600</x:t>
  </x:si>
  <x:si>
    <x:t>HDMUDALA92925500</x:t>
  </x:si>
  <x:si>
    <x:t>ONEYRICGA8174500</x:t>
  </x:si>
  <x:si>
    <x:t>HDMUDALA82709500</x:t>
  </x:si>
  <x:si>
    <x:t>HDMUDALA17244300</x:t>
  </x:si>
  <x:si>
    <x:t>ONEYRICG63550300</x:t>
  </x:si>
  <x:si>
    <x:t>ONEYRICETE171500</x:t>
  </x:si>
  <x:si>
    <x:t>ONEYRICFKS867900</x:t>
  </x:si>
  <x:si>
    <x:t>ONEYBNEF01151300</x:t>
  </x:si>
  <x:si>
    <x:t>EGLV602500024222</x:t>
  </x:si>
  <x:si>
    <x:t>HLCUPN4251064362</x:t>
  </x:si>
  <x:si>
    <x:t>HDMUSAOA56206802</x:t>
  </x:si>
  <x:si>
    <x:t>EGLV602500021215</x:t>
  </x:si>
  <x:si>
    <x:t>ONEYRICEQV125900</x:t>
  </x:si>
  <x:si>
    <x:t>HDMUDALA34163300</x:t>
  </x:si>
  <x:si>
    <x:t>CS,SWC,대청,삼진2,제니스</x:t>
  </x:si>
  <x:si>
    <x:t>삼진2,신우,오로라,제니스,프라자</x:t>
  </x:si>
  <x:si>
    <x:t>ONEYRICG27732500</x:t>
  </x:si>
  <x:si>
    <x:t>MASIATERO
 마시아테로</x:t>
  </x:si>
  <x:si>
    <x:t>HDMUDALA08622900</x:t>
  </x:si>
  <x:si>
    <x:t>HDMUDALA54074400</x:t>
  </x:si>
  <x:si>
    <x:t>EGLV360500166386</x:t>
  </x:si>
  <x:si>
    <x:t>미   국   산    우   육</x:t>
  </x:si>
  <x:si>
    <x:t>ONEYRICFPX299900</x:t>
  </x:si>
  <x:si>
    <x:t>ONEYSAOF59710903</x:t>
  </x:si>
  <x:si>
    <x:t>HDMUSAOA55800809</x:t>
  </x:si>
  <x:si>
    <x:t>ONEYRICEKQ227300</x:t>
  </x:si>
  <x:si>
    <x:t>HDMUSAOA03275500</x:t>
  </x:si>
  <x:si>
    <x:t>ONEYSYDF04043900</x:t>
  </x:si>
  <x:si>
    <x:t>ONEYBNEG00746600</x:t>
  </x:si>
  <x:si>
    <x:t>HDMUSAOA47580800</x:t>
  </x:si>
  <x:si>
    <x:t>ONEYRICEPU690700</x:t>
  </x:si>
  <x:si>
    <x:t>HDMUDALA33402400</x:t>
  </x:si>
  <x:si>
    <x:t>ZIMUSYD000036432</x:t>
  </x:si>
  <x:si>
    <x:t>ONEYRICG84577800</x:t>
  </x:si>
  <x:si>
    <x:t>ONEYSYDF01005400</x:t>
  </x:si>
  <x:si>
    <x:t>EGLV602400012087</x:t>
  </x:si>
  <x:si>
    <x:t>HDMUHAMA77061600</x:t>
  </x:si>
  <x:si>
    <x:t>ONEYRICG75636400</x:t>
  </x:si>
  <x:si>
    <x:t>RUDOLF</x:t>
  </x:si>
  <x:si>
    <x:t>BATALLE</x:t>
  </x:si>
  <x:si>
    <x:t>곤SWC</x:t>
  </x:si>
  <x:si>
    <x:t>SIF1215</x:t>
  </x:si>
  <x:si>
    <x:t>5700원</x:t>
  </x:si>
  <x:si>
    <x:t>스마트팜</x:t>
  </x:si>
  <x:si>
    <x:t>4월3주</x:t>
  </x:si>
  <x:si>
    <x:t>SIF2014</x:t>
  </x:si>
  <x:si>
    <x:t>동결목심</x:t>
  </x:si>
  <x:si>
    <x:t>15.88</x:t>
  </x:si>
  <x:si>
    <x:t>돈가브리</x:t>
  </x:si>
  <x:si>
    <x:t>비앤피월드</x:t>
  </x:si>
  <x:si>
    <x:t>닭가슴살</x:t>
  </x:si>
  <x:si>
    <x:t>SIF1</x:t>
  </x:si>
  <x:si>
    <x:t>SIF2485</x:t>
  </x:si>
  <x:si>
    <x:t>SIF777</x:t>
  </x:si>
  <x:si>
    <x:t>에이스처인</x:t>
  </x:si>
  <x:si>
    <x:t>냉장부채</x:t>
  </x:si>
  <x:si>
    <x:t>SADIA</x:t>
  </x:si>
  <x:si>
    <x:t>NOLAN</x:t>
  </x:si>
  <x:si>
    <x:t>SIF18</x:t>
  </x:si>
  <x:si>
    <x:t>곤삼진2</x:t>
  </x:si>
  <x:si>
    <x:t>냉장알목심</x:t>
  </x:si>
  <x:si>
    <x:t>TEYS</x:t>
  </x:si>
  <x:si>
    <x:t>SIF466</x:t>
  </x:si>
  <x:si>
    <x:t>93/1</x:t>
  </x:si>
  <x:si>
    <x:t>냉장황제늑간</x:t>
  </x:si>
  <x:si>
    <x:t>투에스푸드</x:t>
  </x:si>
  <x:si>
    <x:t>SIF1001</x:t>
  </x:si>
  <x:si>
    <x:t>244M</x:t>
  </x:si>
  <x:si>
    <x:t>VIBRA</x:t>
  </x:si>
  <x:si>
    <x:t>일반전각</x:t>
  </x:si>
  <x:si>
    <x:t>냉장진갈비살</x:t>
  </x:si>
  <x:si>
    <x:t>더드림축산</x:t>
  </x:si>
  <x:si>
    <x:t>상원미트</x:t>
  </x:si>
  <x:si>
    <x:t>두드림푸드</x:t>
  </x:si>
  <x:si>
    <x:t xml:space="preserve">제이테이블 </x:t>
  </x:si>
  <x:si>
    <x:t>고기연구소</x:t>
  </x:si>
  <x:si>
    <x:t>경남유통</x:t>
  </x:si>
  <x:si>
    <x:t>BEEF</x:t>
  </x:si>
  <x:si>
    <x:t>LOCKS</x:t>
  </x:si>
  <x:si>
    <x:t>동결삼겹</x:t>
  </x:si>
  <x:si>
    <x:t>사태(뒤)</x:t>
  </x:si>
  <x:si>
    <x:t>프라자,대재</x:t>
  </x:si>
  <x:si>
    <x:t>TICAN</x:t>
  </x:si>
  <x:si>
    <x:t>대양미트</x:t>
  </x:si>
  <x:si>
    <x:t>돈갈매기</x:t>
  </x:si>
  <x:si>
    <x:t>아워미트</x:t>
  </x:si>
  <x:si>
    <x:t>동신푸드</x:t>
  </x:si>
  <x:si>
    <x:t>에이스용인</x:t>
  </x:si>
  <x:si>
    <x:t>아레스컴퍼니</x:t>
  </x:si>
  <x:si>
    <x:t>SEARA</x:t>
  </x:si>
  <x:si>
    <x:t>남상푸드</x:t>
  </x:si>
  <x:si>
    <x:t>CELRA</x:t>
  </x:si>
  <x:si>
    <x:t>SIF490</x:t>
  </x:si>
  <x:si>
    <x:t>HYLIFE</x:t>
  </x:si>
  <x:si>
    <x:t>41/50</x:t>
  </x:si>
  <x:si>
    <x:t>한라동탄</x:t>
  </x:si>
  <x:si>
    <x:t>125/1</x:t>
  </x:si>
  <x:si>
    <x:t>SIF2212</x:t>
  </x:si>
  <x:si>
    <x:t>SIF104</x:t>
  </x:si>
  <x:si>
    <x:t>씨에이치</x:t>
  </x:si>
  <x:si>
    <x:t>닭장각정육</x:t>
  </x:si>
  <x:si>
    <x:t>SIF601</x:t>
  </x:si>
  <x:si>
    <x:t>320M</x:t>
  </x:si>
  <x:si>
    <x:t>박스파손</x:t>
  </x:si>
  <x:si>
    <x:t>설반14500</x:t>
  </x:si>
  <x:si>
    <x:t>PATEL</x:t>
  </x:si>
  <x:si>
    <x:t>치마양지</x:t>
  </x:si>
  <x:si>
    <x:t>CASINO</x:t>
  </x:si>
  <x:si>
    <x:t>돼지상회</x:t>
  </x:si>
  <x:si>
    <x:t>26/30</x:t>
  </x:si>
  <x:si>
    <x:t>에스엠통상</x:t>
  </x:si>
  <x:si>
    <x:t>우리나라국밥</x:t>
  </x:si>
  <x:si>
    <x:t>KILCOY</x:t>
  </x:si>
  <x:si>
    <x:t>DUROC</x:t>
  </x:si>
  <x:si>
    <x:t>작업양지</x:t>
  </x:si>
  <x:si>
    <x:t>SIF3125</x:t>
  </x:si>
  <x:si>
    <x:t>960A</x:t>
  </x:si>
  <x:si>
    <x:t>우건(뒤)</x:t>
  </x:si>
  <x:si>
    <x:t>ME82</x:t>
  </x:si>
  <x:si>
    <x:t>WINGHAM</x:t>
  </x:si>
  <x:si>
    <x:t>OMAHA</x:t>
  </x:si>
  <x:si>
    <x:t>ME131</x:t>
  </x:si>
  <x:si>
    <x:t>INDIANA</x:t>
  </x:si>
  <x:si>
    <x:t>정우미트</x:t>
  </x:si>
  <x:si>
    <x:t>PPCS</x:t>
  </x:si>
  <x:si>
    <x:t>제이테이블</x:t>
  </x:si>
  <x:si>
    <x:t>알목심BS</x:t>
  </x:si>
  <x:si>
    <x:t>진공파손</x:t>
  </x:si>
  <x:si>
    <x:t>31/40</x:t>
  </x:si>
  <x:si>
    <x:t>삶은곱창</x:t>
  </x:si>
  <x:si>
    <x:t>삼진직원</x:t>
  </x:si>
  <x:si>
    <x:t>베이지박스투</x:t>
  </x:si>
  <x:si>
    <x:t>SIF4202</x:t>
  </x:si>
  <x:si>
    <x:t>KEKEN</x:t>
  </x:si>
  <x:si>
    <x:t>나린팜스</x:t>
  </x:si>
  <x:si>
    <x:t>정상제품</x:t>
  </x:si>
  <x:si>
    <x:t>목촌마을</x:t>
  </x:si>
  <x:si>
    <x:t>37.58</x:t>
  </x:si>
  <x:si>
    <x:t>20.26</x:t>
  </x:si>
  <x:si>
    <x:t>그집갈비탕</x:t>
  </x:si>
  <x:si>
    <x:t>27.05</x:t>
  </x:si>
  <x:si>
    <x:t>박스파손품</x:t>
  </x:si>
  <x:si>
    <x:t>작업삼겹양지</x:t>
  </x:si>
  <x:si>
    <x:t>케이와이컴퍼니</x:t>
  </x:si>
  <x:si>
    <x:t>팔공키친</x:t>
  </x:si>
  <x:si>
    <x:t>COLES</x:t>
  </x:si>
  <x:si>
    <x:t>삼성굿미트</x:t>
  </x:si>
  <x:si>
    <x:t>맛있는날</x:t>
  </x:si>
  <x:si>
    <x:t>숏립앤드</x:t>
  </x:si>
  <x:si>
    <x:t>고은미트</x:t>
  </x:si>
  <x:si>
    <x:t>블랙피그</x:t>
  </x:si>
  <x:si>
    <x:t>엠케이커머스</x:t>
  </x:si>
  <x:si>
    <x:t>소프트미트</x:t>
  </x:si>
  <x:si>
    <x:t>AFFCO</x:t>
  </x:si>
  <x:si>
    <x:t>노리미트</x:t>
  </x:si>
  <x:si>
    <x:t>작업우목뼈</x:t>
  </x:si>
  <x:si>
    <x:t>실물SE</x:t>
  </x:si>
  <x:si>
    <x:t>생칵테일새우</x:t>
  </x:si>
  <x:si>
    <x:t>고향소갈비찜</x:t>
  </x:si>
  <x:si>
    <x:t>32.23</x:t>
  </x:si>
  <x:si>
    <x:t>244W</x:t>
  </x:si>
  <x:si>
    <x:t>엠에이씨컴퍼니</x:t>
  </x:si>
  <x:si>
    <x:t>친절정육점</x:t>
  </x:si>
  <x:si>
    <x:t>현주팀장님</x:t>
  </x:si>
  <x:si>
    <x:t>GFYG</x:t>
  </x:si>
  <x:si>
    <x:t>설반15000</x:t>
  </x:si>
  <x:si>
    <x:t>6700원</x:t>
  </x:si>
  <x:si>
    <x:t>19.74</x:t>
  </x:si>
  <x:si>
    <x:t>대재,제니스</x:t>
  </x:si>
  <x:si>
    <x:t>NL121EG</x:t>
  </x:si>
  <x:si>
    <x:t>19.16</x:t>
  </x:si>
  <x:si>
    <x:t>경인,대재</x:t>
  </x:si>
  <x:si>
    <x:t>27.36</x:t>
  </x:si>
  <x:si>
    <x:t>양지(ON)</x:t>
  </x:si>
  <x:si>
    <x:t>24.98</x:t>
  </x:si>
  <x:si>
    <x:t>13/19</x:t>
  </x:si>
  <x:si>
    <x:t>작업잡뼈</x:t>
  </x:si>
  <x:si>
    <x:t>일반갈비</x:t>
  </x:si>
  <x:si>
    <x:t>상록회관</x:t>
  </x:si>
  <x:si>
    <x:t>작업목심</x:t>
  </x:si>
  <x:si>
    <x:t>삼진 직원</x:t>
  </x:si>
  <x:si>
    <x:t>판매가격</x:t>
  </x:si>
  <x:si>
    <x:t>삼진2,제니스</x:t>
  </x:si>
  <x:si>
    <x:t>36.07</x:t>
  </x:si>
  <x:si>
    <x:t>실물CH</x:t>
  </x:si>
  <x:si>
    <x:t>28.87</x:t>
  </x:si>
  <x:si>
    <x:t>ME66</x:t>
  </x:si>
  <x:si>
    <x:t>29.56</x:t>
  </x:si>
  <x:si>
    <x:t>작업돈껍데기</x:t>
  </x:si>
  <x:si>
    <x:t>대재,삼진2</x:t>
  </x:si>
  <x:si>
    <x:t>37.4</x:t>
  </x:si>
  <x:si>
    <x:t>26.77</x:t>
  </x:si>
  <x:si>
    <x:t>30.25</x:t>
  </x:si>
  <x:si>
    <x:t>작업목전지</x:t>
  </x:si>
  <x:si>
    <x:t>19.29</x:t>
  </x:si>
  <x:si>
    <x:t>31.22</x:t>
  </x:si>
  <x:si>
    <x:t>작업스페어립</x:t>
  </x:si>
  <x:si>
    <x:t>27.68</x:t>
  </x:si>
  <x:si>
    <x:t>SWC,삼진2</x:t>
  </x:si>
  <x:si>
    <x:t>19.2</x:t>
  </x:si>
  <x:si>
    <x:t>14/22</x:t>
  </x:si>
  <x:si>
    <x:t>신우, 프라자</x:t>
  </x:si>
  <x:si>
    <x:t>29.19</x:t>
  </x:si>
  <x:si>
    <x:t>스미스필드</x:t>
  </x:si>
  <x:si>
    <x:t>32.29</x:t>
  </x:si>
  <x:si>
    <x:t>3D,969</x:t>
  </x:si>
  <x:si>
    <x:t>28.13</x:t>
  </x:si>
  <x:si>
    <x:t>34.7</x:t>
  </x:si>
  <x:si>
    <x:t>86E,R</x:t>
  </x:si>
  <x:si>
    <x:t>12.1</x:t>
  </x:si>
  <x:si>
    <x:t>거상푸드</x:t>
  </x:si>
  <x:si>
    <x:t>25.45</x:t>
  </x:si>
  <x:si>
    <x:t>26.64</x:t>
  </x:si>
  <x:si>
    <x:t>24.45</x:t>
  </x:si>
  <x:si>
    <x:t>25.49</x:t>
  </x:si>
  <x:si>
    <x:t>CS,대재</x:t>
  </x:si>
  <x:si>
    <x:t>19.71</x:t>
  </x:si>
  <x:si>
    <x:t>14.54</x:t>
  </x:si>
  <x:si>
    <x:t>28.52</x:t>
  </x:si>
  <x:si>
    <x:t>삼진2,희창</x:t>
  </x:si>
  <x:si>
    <x:t>19.03</x:t>
  </x:si>
  <x:si>
    <x:t>강동1,강동2</x:t>
  </x:si>
  <x:si>
    <x:t>24.48</x:t>
  </x:si>
  <x:si>
    <x:t>29.4</x:t>
  </x:si>
  <x:si>
    <x:t>23.43</x:t>
  </x:si>
  <x:si>
    <x:t>28.01</x:t>
  </x:si>
  <x:si>
    <x:t>22.21</x:t>
  </x:si>
  <x:si>
    <x:t>CH ,SE</x:t>
  </x:si>
  <x:si>
    <x:t>34.01</x:t>
  </x:si>
  <x:si>
    <x:t>28.65</x:t>
  </x:si>
  <x:si>
    <x:t>BULL</x:t>
  </x:si>
  <x:si>
    <x:t>17.87</x:t>
  </x:si>
  <x:si>
    <x:t>18.62</x:t>
  </x:si>
  <x:si>
    <x:t>16.24</x:t>
  </x:si>
  <x:si>
    <x:t>24.64</x:t>
  </x:si>
  <x:si>
    <x:t>17.89</x:t>
  </x:si>
  <x:si>
    <x:t>29.15</x:t>
  </x:si>
  <x:si>
    <x:t>20.41</x:t>
  </x:si>
  <x:si>
    <x:t>23.86</x:t>
  </x:si>
  <x:si>
    <x:t>25.02</x:t>
  </x:si>
  <x:si>
    <x:t>16.2</x:t>
  </x:si>
  <x:si>
    <x:t>재고수량</x:t>
  </x:si>
  <x:si>
    <x:t>29.21</x:t>
  </x:si>
  <x:si>
    <x:t>23.3</x:t>
  </x:si>
  <x:si>
    <x:t>26.57</x:t>
  </x:si>
  <x:si>
    <x:t>20.99</x:t>
  </x:si>
  <x:si>
    <x:t>19.41</x:t>
  </x:si>
  <x:si>
    <x:t>강동2,제니스</x:t>
  </x:si>
  <x:si>
    <x:t>19.11</x:t>
  </x:si>
  <x:si>
    <x:t>32.76</x:t>
  </x:si>
  <x:si>
    <x:t>계  육</x:t>
  </x:si>
  <x:si>
    <x:t>24.86</x:t>
  </x:si>
  <x:si>
    <x:t>신우,제니스</x:t>
  </x:si>
  <x:si>
    <x:t>29.95</x:t>
  </x:si>
  <x:si>
    <x:t>유상,제니스</x:t>
  </x:si>
  <x:si>
    <x:t>16.78</x:t>
  </x:si>
  <x:si>
    <x:t>28.81</x:t>
  </x:si>
  <x:si>
    <x:t>20.45</x:t>
  </x:si>
  <x:si>
    <x:t>ME127</x:t>
  </x:si>
  <x:si>
    <x:t>30.17</x:t>
  </x:si>
  <x:si>
    <x:t>19.45</x:t>
  </x:si>
  <x:si>
    <x:t>황제늑간</x:t>
  </x:si>
  <x:si>
    <x:t>CS,제니스</x:t>
  </x:si>
  <x:si>
    <x:t>견우오아시스</x:t>
  </x:si>
  <x:si>
    <x:t>22.26</x:t>
  </x:si>
  <x:si>
    <x:t>18.66</x:t>
  </x:si>
  <x:si>
    <x:t>등급/포장</x:t>
  </x:si>
  <x:si>
    <x:t>평균중량</x:t>
  </x:si>
  <x:si>
    <x:t>23.41</x:t>
  </x:si>
  <x:si>
    <x:t>15.44</x:t>
  </x:si>
  <x:si>
    <x:t>머리고기</x:t>
  </x:si>
  <x:si>
    <x:t>창고 / 비고</x:t>
  </x:si>
  <x:si>
    <x:t>18.8</x:t>
  </x:si>
  <x:si>
    <x:t>9.98</x:t>
  </x:si>
  <x:si>
    <x:t>사골(뒤왕)</x:t>
  </x:si>
  <x:si>
    <x:t>24.56</x:t>
  </x:si>
  <x:si>
    <x:t>BL번호</x:t>
  </x:si>
  <x:si>
    <x:t>돈     육</x:t>
  </x:si>
  <x:si>
    <x:t>CS,삼진2</x:t>
  </x:si>
  <x:si>
    <x:t>사용불가</x:t>
  </x:si>
  <x:si>
    <x:t>ESTNO</x:t>
  </x:si>
  <x:si>
    <x:t>MB4-5</x:t>
  </x:si>
  <x:si>
    <x:t>245E</x:t>
  </x:si>
  <x:si>
    <x:t>EXCEL</x:t>
  </x:si>
  <x:si>
    <x:t>CS,기흥</x:t>
  </x:si>
  <x:si>
    <x:t>조각탕갈비</x:t>
  </x:si>
  <x:si>
    <x:t>CS,SWC</x:t>
  </x:si>
  <x:si>
    <x:t>캐나다 우육</x:t>
  </x:si>
  <x:si>
    <x:t>20.52</x:t>
  </x:si>
  <x:si>
    <x:t>탕갈비#2</x:t>
  </x:si>
  <x:si>
    <x:t>969G</x:t>
  </x:si>
  <x:si>
    <x:t>16.9</x:t>
  </x:si>
  <x:si>
    <x:t>냉장늑간</x:t>
  </x:si>
  <x:si>
    <x:t>#ERROR!</x:t>
  </x:si>
  <x:si>
    <x:t>냉장목살</x:t>
  </x:si>
  <x:si>
    <x:t>유통기한</x:t>
  </x:si>
  <x:si>
    <x:t>진갈비살</x:t>
  </x:si>
  <x:si>
    <x:t>삼겹양지</x:t>
  </x:si>
  <x:si>
    <x:t>볼라전각</x:t>
  </x:si>
  <x:si>
    <x:t>4.96</x:t>
  </x:si>
  <x:si>
    <x:t>270A</x:t>
  </x:si>
  <x:si>
    <x:t>동결소갈비</x:t>
  </x:si>
  <x:si>
    <x:t>28.04</x:t>
  </x:si>
  <x:si>
    <x:t>18.81</x:t>
  </x:si>
  <x:si>
    <x:t>갈비본살</x:t>
  </x:si>
  <x:si>
    <x:t>조각삼겹양지</x:t>
  </x:si>
  <x:si>
    <x:t>18.64</x:t>
  </x:si>
  <x:si>
    <x:t>24.25</x:t>
  </x:si>
  <x:si>
    <x:t>냉장토시</x:t>
  </x:si>
  <x:si>
    <x:t>차돌박이</x:t>
  </x:si>
  <x:si>
    <x:t>26.51</x:t>
  </x:si>
  <x:si>
    <x:t>27.62</x:t>
  </x:si>
  <x:si>
    <x:t>25.61</x:t>
  </x:si>
  <x:si>
    <x:t>출고예정일</x:t>
  </x:si>
  <x:si>
    <x:t>에이스기흥</x:t>
  </x:si>
  <x:si>
    <x:t>오로라,제니스</x:t>
  </x:si>
  <x:si>
    <x:t>19.33</x:t>
  </x:si>
  <x:si>
    <x:t>FRIUSA</x:t>
  </x:si>
  <x:si>
    <x:t>29.12</x:t>
  </x:si>
  <x:si>
    <x:t>미트박스</x:t>
  </x:si>
  <x:si>
    <x:t>깐양(규격X)</x:t>
  </x:si>
  <x:si>
    <x:t>OLYMEL</x:t>
  </x:si>
  <x:si>
    <x:t>OAKEY</x:t>
  </x:si>
  <x:si>
    <x:t>SWIFT</x:t>
  </x:si>
  <x:si>
    <x:t>31.75</x:t>
  </x:si>
  <x:si>
    <x:t>스페어립</x:t>
  </x:si>
  <x:si>
    <x:t>26.6</x:t>
  </x:si>
  <x:si>
    <x:t>냉장소갈비</x:t>
  </x:si>
  <x:si>
    <x:t>T'CH</x:t>
  </x:si>
  <x:si>
    <x:t>이스트밸리</x:t>
  </x:si>
  <x:si>
    <x:t>아롱사태</x:t>
  </x:si>
  <x:si>
    <x:t>SWC,제니스</x:t>
  </x:si>
  <x:si>
    <x:t>동결목살</x:t>
  </x:si>
  <x:si>
    <x:t>냉장삼겹</x:t>
  </x:si>
  <x:si>
    <x:t>사태(앞)</x:t>
  </x:si>
  <x:si>
    <x:t>양지(OFF)</x:t>
  </x:si>
  <x:si>
    <x:t>우건(규격X)</x:t>
  </x:si>
  <x:si>
    <x:t>AURORA</x:t>
  </x:si>
  <x:si>
    <x:t>ROSE</x:t>
  </x:si>
  <x:si>
    <x:t>SIF530</x:t>
  </x:si>
  <x:si>
    <x:t>냉장갈비본살</x:t>
  </x:si>
  <x:si>
    <x:t>뒤집은대창</x:t>
  </x:si>
  <x:si>
    <x:t>20.78</x:t>
  </x:si>
  <x:si>
    <x:t>토마호크</x:t>
  </x:si>
  <x:si>
    <x:t>14.77</x:t>
  </x:si>
  <x:si>
    <x:t>멕시칼리</x:t>
  </x:si>
  <x:si>
    <x:t>562M</x:t>
  </x:si>
  <x:si>
    <x:t>냉장아롱사태</x:t>
  </x:si>
  <x:si>
    <x:t>냉장토마호크</x:t>
  </x:si>
  <x:si>
    <x:t>10KG</x:t>
  </x:si>
  <x:si>
    <x:t>23.58</x:t>
  </x:si>
  <x:si>
    <x:t>245C</x:t>
  </x:si>
  <x:si>
    <x:t>SIF103</x:t>
  </x:si>
  <x:si>
    <x:t>TONNIES</x:t>
  </x:si>
  <x:si>
    <x:t>19.04</x:t>
  </x:si>
  <x:si>
    <x:t>28.9</x:t>
  </x:si>
  <x:si>
    <x:t>ME52</x:t>
  </x:si>
  <x:si>
    <x:t>BBQ탕갈비</x:t>
  </x:si>
  <x:si>
    <x:t>IBP 목전지</x:t>
  </x:si>
  <x:si>
    <x:t>제니스(예정)</x:t>
  </x:si>
  <x:si>
    <x:t>레드원푸드</x:t>
  </x:si>
  <x:si>
    <x:t>20KG</x:t>
  </x:si>
  <x:si>
    <x:t>717M</x:t>
  </x:si>
  <x:si>
    <x:t>냉장살치</x:t>
  </x:si>
  <x:si>
    <x:t>16.73</x:t>
  </x:si>
  <x:si>
    <x:t>245L</x:t>
  </x:si>
  <x:si>
    <x:t>SE</x:t>
  </x:si>
  <x:si>
    <x:t>곤지암</x:t>
  </x:si>
  <x:si>
    <x:t>86E</x:t>
  </x:si>
  <x:si>
    <x:t>등급</x:t>
  </x:si>
  <x:si>
    <x:t>SWC</x:t>
  </x:si>
  <x:si>
    <x:t>CS</x:t>
  </x:si>
  <x:si>
    <x:t>BL</x:t>
  </x:si>
  <x:si>
    <x:t>브랜드</x:t>
  </x:si>
  <x:si>
    <x:t>갈비</x:t>
  </x:si>
  <x:si>
    <x:t>86K</x:t>
  </x:si>
  <x:si>
    <x:t>PR</x:t>
  </x:si>
  <x:si>
    <x:t>CH</x:t>
  </x:si>
  <x:si>
    <x:t>대재</x:t>
  </x:si>
  <x:si>
    <x:t>품목</x:t>
  </x:si>
  <x:si>
    <x:t>제니스</x:t>
  </x:si>
  <x:si>
    <x:t>CAB</x:t>
  </x:si>
  <x:si>
    <x:t>수량</x:t>
  </x:si>
  <x:si>
    <x:t>토시</x:t>
  </x:si>
  <x:si>
    <x:t>국내산</x:t>
  </x:si>
  <x:si>
    <x:t>86R</x:t>
  </x:si>
  <x:si>
    <x:t>UN</x:t>
  </x:si>
  <x:si>
    <x:t>늑간</x:t>
  </x:si>
  <x:si>
    <x:t>홍창</x:t>
  </x:si>
  <x:si>
    <x:t>삼진2</x:t>
  </x:si>
  <x:si>
    <x:t>깐양</x:t>
  </x:si>
  <x:si>
    <x:t xml:space="preserve">  </x:t>
  </x:si>
  <x:si>
    <x:t>삼일</x:t>
  </x:si>
  <x:si>
    <x:t>삼겹</x:t>
  </x:si>
  <x:si>
    <x:t>IFT</x:t>
  </x:si>
  <x:si>
    <x:t>창고</x:t>
  </x:si>
  <x:si>
    <x:t>부채살</x:t>
  </x:si>
  <x:si>
    <x:t>EST</x:t>
  </x:si>
  <x:si>
    <x:t>로인립</x:t>
  </x:si>
  <x:si>
    <x:t>6.8</x:t>
  </x:si>
  <x:si>
    <x:t>알목심</x:t>
  </x:si>
  <x:si>
    <x:t>GCM</x:t>
  </x:si>
  <x:si>
    <x:t>강동2</x:t>
  </x:si>
  <x:si>
    <x:t>분류</x:t>
  </x:si>
  <x:si>
    <x:t>19</x:t>
  </x:si>
  <x:si>
    <x:t>동결</x:t>
  </x:si>
  <x:si>
    <x:t>살치</x:t>
  </x:si>
  <x:si>
    <x:t>AAA</x:t>
  </x:si>
  <x:si>
    <x:t>늑간살</x:t>
  </x:si>
  <x:si>
    <x:t xml:space="preserve"> </x:t>
  </x:si>
  <x:si>
    <x:t>척갈비</x:t>
  </x:si>
  <x:si>
    <x:t>평중</x:t>
  </x:si>
  <x:si>
    <x:t>유상</x:t>
  </x:si>
  <x:si>
    <x:t>소갈비</x:t>
  </x:si>
  <x:si>
    <x:t>강동1</x:t>
  </x:si>
  <x:si>
    <x:t>목살</x:t>
  </x:si>
  <x:si>
    <x:t>신우</x:t>
  </x:si>
  <x:si>
    <x:t>GF</x:t>
  </x:si>
  <x:si>
    <x:t>A</x:t>
  </x:si>
  <x:si>
    <x:t>2P</x:t>
  </x:si>
  <x:si>
    <x:t>86M</x:t>
  </x:si>
  <x:si>
    <x:t>ICP</x:t>
  </x:si>
  <x:si>
    <x:t>희창</x:t>
  </x:si>
  <x:si>
    <x:t>돈단족</x:t>
  </x:si>
  <x:si>
    <x:t>효성</x:t>
  </x:si>
  <x:si>
    <x:t>닭봉</x:t>
  </x:si>
  <x:si>
    <x:t>PS</x:t>
  </x:si>
  <x:si>
    <x:t>곤삼일</x:t>
  </x:si>
  <x:si>
    <x:t>IBP</x:t>
  </x:si>
  <x:si>
    <x:t>곤CS</x:t>
  </x:si>
  <x:si>
    <x:t>ACC</x:t>
  </x:si>
  <x:si>
    <x:t>비고</x:t>
  </x:si>
  <x:si>
    <x:t>탕갈비</x:t>
  </x:si>
  <x:si>
    <x:t>3S</x:t>
  </x:si>
  <x:si>
    <x:t>항정살</x:t>
  </x:si>
  <x:si>
    <x:t>3D</x:t>
  </x:si>
  <x:si>
    <x:t>도매</x:t>
  </x:si>
  <x:si>
    <x:t>닭정육</x:t>
  </x:si>
  <x:si>
    <x:t>홍두깨</x:t>
  </x:si>
  <x:si>
    <x:t>돈목뼈</x:t>
  </x:si>
  <x:si>
    <x:t>대청</x:t>
  </x:si>
  <x:si>
    <x:t>3W</x:t>
  </x:si>
  <x:si>
    <x:t>S</x:t>
  </x:si>
  <x:si>
    <x:t>AMH</x:t>
  </x:si>
  <x:si>
    <x:t>프라자</x:t>
  </x:si>
  <x:si>
    <x:t>곱창</x:t>
  </x:si>
  <x:si>
    <x:t>돈장족</x:t>
  </x:si>
  <x:si>
    <x:t>양지</x:t>
  </x:si>
  <x:si>
    <x:t>돈등잡</x:t>
  </x:si>
  <x:si>
    <x:t>냉동</x:t>
  </x:si>
  <x:si>
    <x:t>4P</x:t>
  </x:si>
  <x:si>
    <x:t>목심</x:t>
  </x:si>
  <x:si>
    <x:t>판매처</x:t>
  </x:si>
  <x:si>
    <x:t>NBP</x:t>
  </x:si>
  <x:si>
    <x:t>9KG</x:t>
  </x:si>
  <x:si>
    <x:t>꼬리</x:t>
  </x:si>
  <x:si>
    <x:t>경인</x:t>
  </x:si>
  <x:si>
    <x:t>AMG</x:t>
  </x:si>
  <x:si>
    <x:t>보리촌</x:t>
  </x:si>
  <x:si>
    <x:t>돈갈비</x:t>
  </x:si>
  <x:si>
    <x:t>3P</x:t>
  </x:si>
  <x:si>
    <x:t>C</x:t>
  </x:si>
  <x:si>
    <x:t>06</x:t>
  </x:si>
  <x:si>
    <x:t>294</x:t>
  </x:si>
  <x:si>
    <x:t>AFG</x:t>
  </x:si>
  <x:si>
    <x:t>고려</x:t>
  </x:si>
  <x:si>
    <x:t>대창</x:t>
  </x:si>
  <x:si>
    <x:t>살치살</x:t>
  </x:si>
  <x:si>
    <x:t>설도</x:t>
  </x:si>
  <x:si>
    <x:t>닭장각</x:t>
  </x:si>
  <x:si>
    <x:t>제이코</x:t>
  </x:si>
  <x:si>
    <x:t>고집센</x:t>
  </x:si>
  <x:si>
    <x:t>곤대재</x:t>
  </x:si>
  <x:si>
    <x:t>돈전지</x:t>
  </x:si>
  <x:si>
    <x:t>돈목살</x:t>
  </x:si>
  <x:si>
    <x:t>배민</x:t>
  </x:si>
  <x:si>
    <x:t>대표님</x:t>
  </x:si>
  <x:si>
    <x:t>우건</x:t>
  </x:si>
  <x:si>
    <x:t>현재고</x:t>
  </x:si>
  <x:si>
    <x:t>채끝</x:t>
  </x:si>
  <x:si>
    <x:t>YP</x:t>
  </x:si>
  <x:si>
    <x:t>235</x:t>
  </x:si>
  <x:si>
    <x:t>소매용</x:t>
  </x:si>
  <x:si>
    <x:t>목전지</x:t>
  </x:si>
  <x:si>
    <x:t>사태</x:t>
  </x:si>
  <x:si>
    <x:t>170</x:t>
  </x:si>
  <x:si>
    <x:t>SBA</x:t>
  </x:si>
  <x:si>
    <x:t>설깃</x:t>
  </x:si>
  <x:si>
    <x:t>브라질</x:t>
  </x:si>
  <x:si>
    <x:t>우목뼈</x:t>
  </x:si>
  <x:si>
    <x:t>비앙드</x:t>
  </x:si>
  <x:si>
    <x:t>홀딩</x:t>
  </x:si>
  <x:si>
    <x:t>수탁품</x:t>
  </x:si>
  <x:si>
    <x:t>예당</x:t>
  </x:si>
  <x:si>
    <x:t>RRA</x:t>
  </x:si>
  <x:si>
    <x:t>안창살</x:t>
  </x:si>
  <x:si>
    <x:t>93</x:t>
  </x:si>
  <x:si>
    <x:t>한라</x:t>
  </x:si>
  <x:si>
    <x:t>오로라</x:t>
  </x:si>
  <x:si>
    <x:t>우볼살</x:t>
  </x:si>
  <x:si>
    <x:t>부용</x:t>
  </x:si>
  <x:si>
    <x:t>특판</x:t>
  </x:si>
  <x:si>
    <x:t>38</x:t>
  </x:si>
  <x:si>
    <x:t>AA</x:t>
  </x:si>
  <x:si>
    <x:t>삼진1</x:t>
  </x:si>
  <x:si>
    <x:t>249</x:t>
  </x:si>
  <x:si>
    <x:t>곤대청</x:t>
  </x:si>
  <x:si>
    <x:t>고원돈</x:t>
  </x:si>
  <x:si>
    <x:t>인도</x:t>
  </x:si>
  <x:si>
    <x:t>파손품</x:t>
  </x:si>
  <x:si>
    <x:t>291</x:t>
  </x:si>
  <x:si>
    <x:t>몽블리</x:t>
  </x:si>
  <x:si>
    <x:t>STX</x:t>
  </x:si>
  <x:si>
    <x:t>앞다리</x:t>
  </x:si>
  <x:si>
    <x:t>토시살</x:t>
  </x:si>
  <x:si>
    <x:t>가마솥</x:t>
  </x:si>
  <x:si>
    <x:t>특판팀</x:t>
  </x:si>
  <x:si>
    <x:t>설반</x:t>
  </x:si>
  <x:si>
    <x:t>우둔</x:t>
  </x:si>
  <x:si>
    <x:t>969</x:t>
  </x:si>
  <x:si>
    <x:t>페루</x:t>
  </x:si>
  <x:si>
    <x:t>뼈우건</x:t>
  </x:si>
  <x:si>
    <x:t>곰푸드</x:t>
  </x:si>
  <x:si>
    <x:t>203</x:t>
  </x:si>
  <x:si>
    <x:t>샤브몰</x:t>
  </x:si>
  <x:si>
    <x:t>PRE</x:t>
  </x:si>
  <x:si>
    <x:t>562</x:t>
  </x:si>
  <x:si>
    <x:t>PSA</x:t>
  </x:si>
  <x:si>
    <x:t>517</x:t>
  </x:si>
  <x:si>
    <x:t>콤팍소</x:t>
  </x:si>
  <x:si>
    <x:t/>
  </x:si>
  <x:si>
    <x:t>PERDIGAO 페르디가오</x:t>
  </x:si>
  <x:si>
    <x:t>MAEU249767631</x:t>
  </x:si>
  <x:si>
    <x:t>OOLU2156996390</x:t>
  </x:si>
  <x:si>
    <x:t>L12603232709001</x:t>
  </x:si>
  <x:si>
    <x:t>NYOE25030049</x:t>
  </x:si>
  <x:si>
    <x:t>MAEU266427990</x:t>
  </x:si>
  <x:si>
    <x:t>MEDUVC853094</x:t>
  </x:si>
  <x:si>
    <x:t>MAEU266110191</x:t>
  </x:si>
  <x:si>
    <x:t>OOLU2155433710</x:t>
  </x:si>
  <x:si>
    <x:t>MAEU250671822</x:t>
  </x:si>
  <x:si>
    <x:t>MEDUJJ167116</x:t>
  </x:si>
  <x:si>
    <x:t>MAEU263016639</x:t>
  </x:si>
  <x:si>
    <x:t>OOLU2759451970</x:t>
  </x:si>
  <x:si>
    <x:t>MAEU266330213</x:t>
  </x:si>
  <x:si>
    <x:t>강동1,강동2,삼진2,제니스</x:t>
  </x:si>
  <x:si>
    <x:t>강동1,대재,삼진2,제니스</x:t>
  </x:si>
  <x:si>
    <x:t>L12602262709005</x:t>
  </x:si>
  <x:si>
    <x:t>COSU6440139080</x:t>
  </x:si>
  <x:si>
    <x:t>MAEU248853265</x:t>
  </x:si>
  <x:si>
    <x:t>UNIVERSAL 유니버셜</x:t>
  </x:si>
  <x:si>
    <x:t>호  주  산   우  육</x:t>
  </x:si>
  <x:si>
    <x:t>MAEU262683163</x:t>
  </x:si>
  <x:si>
    <x:t>MAEU264183012</x:t>
  </x:si>
  <x:si>
    <x:t>SWC,대재,삼진2,제니스</x:t>
  </x:si>
  <x:si>
    <x:t>CS,강동2,삼진2,제니스</x:t>
  </x:si>
  <x:si>
    <x:t>MAEU265259391</x:t>
  </x:si>
  <x:si>
    <x:t>CS,오로라,유상,제니스</x:t>
  </x:si>
  <x:si>
    <x:t>MAEU257432375</x:t>
  </x:si>
  <x:si>
    <x:t>MEDUOJ942939</x:t>
  </x:si>
  <x:si>
    <x:t>에이스용인 , 한라곤지암</x:t>
  </x:si>
  <x:si>
    <x:t>MEDUVC899253</x:t>
  </x:si>
  <x:si>
    <x:t>MAEU246232738</x:t>
  </x:si>
  <x:si>
    <x:t>OOLU2320438640</x:t>
  </x:si>
  <x:si>
    <x:t>MAEU263016644</x:t>
  </x:si>
  <x:si>
    <x:t>MAEU248909699</x:t>
  </x:si>
  <x:si>
    <x:t>MAEU265259433</x:t>
  </x:si>
  <x:si>
    <x:t>SHOWCASE
 쇼케이스</x:t>
  </x:si>
  <x:si>
    <x:t>OOLU2155644800</x:t>
  </x:si>
  <x:si>
    <x:t>MAEU261553229</x:t>
  </x:si>
  <x:si>
    <x:t>CS,대재,삼진2,제니스</x:t>
  </x:si>
  <x:si>
    <x:t>MEDUGR827817</x:t>
  </x:si>
  <x:si>
    <x:t>SWC,강동2,제니스,프라자</x:t>
  </x:si>
  <x:si>
    <x:t>강동1,삼진2,오로라,제니스</x:t>
  </x:si>
  <x:si>
    <x:t>조각탕갈비(MEATY)</x:t>
  </x:si>
  <x:si>
    <x:t>MAEU259395871</x:t>
  </x:si>
  <x:si>
    <x:t>MAEU262040000</x:t>
  </x:si>
  <x:si>
    <x:t>MAEUSSZ792206</x:t>
  </x:si>
  <x:si>
    <x:t>MEDUUL763668</x:t>
  </x:si>
  <x:si>
    <x:t>삼진2,제니스 26년10월</x:t>
  </x:si>
  <x:si>
    <x:t>CS, 제니스 / 27년1월</x:t>
  </x:si>
  <x:si>
    <x:t>MAEUSSZ790737</x:t>
  </x:si>
  <x:si>
    <x:t>MAEUSSZ797355</x:t>
  </x:si>
  <x:si>
    <x:t>MAEUSSZ797721</x:t>
  </x:si>
  <x:si>
    <x:t>OOLU2164419830</x:t>
  </x:si>
  <x:si>
    <x:t>MEDUJJ149403</x:t>
  </x:si>
  <x:si>
    <x:t>SWC,강동1,삼진2,효성</x:t>
  </x:si>
  <x:si>
    <x:t>MEDUVC771064</x:t>
  </x:si>
  <x:si>
    <x:t>MEDUUL761712</x:t>
  </x:si>
  <x:si>
    <x:t>MEDUGR737578</x:t>
  </x:si>
  <x:si>
    <x:t>MAEUSSZ795568</x:t>
  </x:si>
  <x:si>
    <x:t>MAEU258938383</x:t>
  </x:si>
  <x:si>
    <x:t>MAEU251311177</x:t>
  </x:si>
  <x:si>
    <x:t>MEDUUL642524</x:t>
  </x:si>
  <x:si>
    <x:t>OOLU2322606090</x:t>
  </x:si>
  <x:si>
    <x:t>OOLU2315967330</x:t>
  </x:si>
  <x:si>
    <x:t>YMJAW135526870</x:t>
  </x:si>
  <x:si>
    <x:t>YMJAA010047982</x:t>
  </x:si>
  <x:si>
    <x:t>MANNING 매닝비프</x:t>
  </x:si>
  <x:si>
    <x:t>MAEU265317089</x:t>
  </x:si>
  <x:si>
    <x:t>대재 , CS , SWC</x:t>
  </x:si>
  <x:si>
    <x:t>MAEUJBS302557</x:t>
  </x:si>
  <x:si>
    <x:t>MEDUWE017829</x:t>
  </x:si>
  <x:si>
    <x:t>MEDUUL766422</x:t>
  </x:si>
  <x:si>
    <x:t>MAEUSSZ796257</x:t>
  </x:si>
  <x:si>
    <x:t>MAEUSSZ799176</x:t>
  </x:si>
  <x:si>
    <x:t>MAEU720590508</x:t>
  </x:si>
  <x:si>
    <x:t>MAEU266168518</x:t>
  </x:si>
  <x:si>
    <x:t>MAEU261643748</x:t>
  </x:si>
  <x:si>
    <x:t>MAEUSSZ798576</x:t>
  </x:si>
  <x:si>
    <x:t>MAEU258937189</x:t>
  </x:si>
  <x:si>
    <x:t>MAEUSSZ795976</x:t>
  </x:si>
  <x:si>
    <x:t>MAEU251355661</x:t>
  </x:si>
  <x:si>
    <x:t>MEDUJJ104051</x:t>
  </x:si>
  <x:si>
    <x:t>MAEUSSZ797339</x:t>
  </x:si>
  <x:si>
    <x:t>MEDUGR806191</x:t>
  </x:si>
  <x:si>
    <x:t>MAEUJBS290411</x:t>
  </x:si>
  <x:si>
    <x:t>MAEUSSZ796714</x:t>
  </x:si>
  <x:si>
    <x:t>MEDUUL881130</x:t>
  </x:si>
  <x:si>
    <x:t>레드원푸드(10000원)</x:t>
  </x:si>
  <x:si>
    <x:t>MEDUOJ080326</x:t>
  </x:si>
  <x:si>
    <x:t>MAEUSSZ797713</x:t>
  </x:si>
  <x:si>
    <x:t>MAEU261204536</x:t>
  </x:si>
  <x:si>
    <x:t>MAEUSSZ795547</x:t>
  </x:si>
  <x:si>
    <x:t>SCL500323700</x:t>
  </x:si>
  <x:si>
    <x:t>OOLU2322503370</x:t>
  </x:si>
  <x:si>
    <x:t>MEDUHI684141</x:t>
  </x:si>
  <x:si>
    <x:t>MAEUSSZ797775</x:t>
  </x:si>
  <x:si>
    <x:t>MAEUJBS303502</x:t>
  </x:si>
  <x:si>
    <x:t>MAEU258936524</x:t>
  </x:si>
  <x:si>
    <x:t>OOLU2152962870</x:t>
  </x:si>
  <x:si>
    <x:t>OOLU2163437240</x:t>
  </x:si>
  <x:si>
    <x:t>MEDUJJ155764</x:t>
  </x:si>
  <x:si>
    <x:t>MAEU261592572</x:t>
  </x:si>
  <x:si>
    <x:t>MAEUJBS292858</x:t>
  </x:si>
  <x:si>
    <x:t>MEDUWE005451</x:t>
  </x:si>
  <x:si>
    <x:t>MEDUJJ103509</x:t>
  </x:si>
  <x:si>
    <x:t>MEDURA447552</x:t>
  </x:si>
  <x:si>
    <x:t>MAEUSSZ795846</x:t>
  </x:si>
  <x:si>
    <x:t>OOLU2156379230</x:t>
  </x:si>
  <x:si>
    <x:t>AUBNE0098724</x:t>
  </x:si>
  <x:si>
    <x:t>SCL500414600</x:t>
  </x:si>
  <x:si>
    <x:t>YMJAA010050916</x:t>
  </x:si>
  <x:si>
    <x:t>MAEUJBS275828</x:t>
  </x:si>
  <x:si>
    <x:t>MAEU245534506</x:t>
  </x:si>
  <x:si>
    <x:t>SCL500585200</x:t>
  </x:si>
  <x:si>
    <x:t>MEDUW2540765</x:t>
  </x:si>
  <x:si>
    <x:t>MEDUHI580307</x:t>
  </x:si>
  <x:si>
    <x:t>MEDUOJ655051</x:t>
  </x:si>
  <x:si>
    <x:t>MAEU265239841</x:t>
  </x:si>
  <x:si>
    <x:t>MEDUOJ420837</x:t>
  </x:si>
  <x:si>
    <x:t>창성푸드(15200원)</x:t>
  </x:si>
  <x:si>
    <x:t>MAEU261647351</x:t>
  </x:si>
  <x:si>
    <x:t>MAEU266747815</x:t>
  </x:si>
  <x:si>
    <x:t>YMJAA010047138</x:t>
  </x:si>
  <x:si>
    <x:t>MEDUEZ365309</x:t>
  </x:si>
  <x:si>
    <x:t>MAEU252182957</x:t>
  </x:si>
  <x:si>
    <x:t>MAEU260202677</x:t>
  </x:si>
  <x:si>
    <x:t>MAEU260971197</x:t>
  </x:si>
  <x:si>
    <x:t>MEDUHI580356</x:t>
  </x:si>
  <x:si>
    <x:t>OOLU2166494380</x:t>
  </x:si>
  <x:si>
    <x:t>MEDUJJ117285</x:t>
  </x:si>
  <x:si>
    <x:t>MEDUW6340030</x:t>
  </x:si>
  <x:si>
    <x:t>MAEUSSZ799167</x:t>
  </x:si>
  <x:si>
    <x:t>4월27일 이후 출고 가능</x:t>
  </x:si>
  <x:si>
    <x:t>MEDUUL888523</x:t>
  </x:si>
  <x:si>
    <x:t>MEDUJJ093072</x:t>
  </x:si>
  <x:si>
    <x:t>ESVLC72185709</x:t>
  </x:si>
  <x:si>
    <x:t>MAEU721209011</x:t>
  </x:si>
  <x:si>
    <x:t>OOLU2319290740</x:t>
  </x:si>
  <x:si>
    <x:t>MAEU262900353</x:t>
  </x:si>
  <x:si>
    <x:t>MAEU263254817</x:t>
  </x:si>
  <x:si>
    <x:t>OOLU2166366080</x:t>
  </x:si>
  <x:si>
    <x:t>OOLU2165211040</x:t>
  </x:si>
  <x:si>
    <x:t>MAEU261639330</x:t>
  </x:si>
  <x:si>
    <x:t>MAEU266168505</x:t>
  </x:si>
  <x:si>
    <x:t>MAEU266114518</x:t>
  </x:si>
  <x:si>
    <x:t>MAEU262043388</x:t>
  </x:si>
  <x:si>
    <x:t>MAEU262437746</x:t>
  </x:si>
  <x:si>
    <x:t>MAEU266745244</x:t>
  </x:si>
  <x:si>
    <x:t>MAEU265239054</x:t>
  </x:si>
  <x:si>
    <x:t>MEDUVC725599</x:t>
  </x:si>
  <x:si>
    <x:t>민강에프앤비(5750원)</x:t>
  </x:si>
  <x:si>
    <x:t>MEDUWE002789</x:t>
  </x:si>
  <x:si>
    <x:t>MAEU249434039</x:t>
  </x:si>
  <x:si>
    <x:t>MAEU266114643</x:t>
  </x:si>
  <x:si>
    <x:t>MAEU262462265</x:t>
  </x:si>
  <x:si>
    <x:t>MAEU262683161</x:t>
  </x:si>
  <x:si>
    <x:t>MAEU265774864</x:t>
  </x:si>
  <x:si>
    <x:t>MAEU261647283</x:t>
  </x:si>
  <x:si>
    <x:t>COSU6443038520</x:t>
  </x:si>
  <x:si>
    <x:t>MAEU265702081</x:t>
  </x:si>
  <x:si>
    <x:t>OOLU2765393610</x:t>
  </x:si>
  <x:si>
    <x:t>MAEU263064664</x:t>
  </x:si>
  <x:si>
    <x:t>MEDUE8986972</x:t>
  </x:si>
  <x:si>
    <x:t>MEDUUL834972</x:t>
  </x:si>
  <x:si>
    <x:t>YMJAA010048904</x:t>
  </x:si>
  <x:si>
    <x:t>MEDUUL863468</x:t>
  </x:si>
  <x:si>
    <x:t>경남유통(20000원)</x:t>
  </x:si>
  <x:si>
    <x:t>HIGHMOUNTAIN</x:t>
  </x:si>
  <x:si>
    <x:t>MAEU721163640</x:t>
  </x:si>
  <x:si>
    <x:t>OOLU2161933640</x:t>
  </x:si>
  <x:si>
    <x:t>MEDURA451018</x:t>
  </x:si>
  <x:si>
    <x:t>OOLU2160950450</x:t>
  </x:si>
  <x:si>
    <x:t>MAEU263339238</x:t>
  </x:si>
  <x:si>
    <x:t>MAEU266114576</x:t>
  </x:si>
  <x:si>
    <x:t>MAEU721078054</x:t>
  </x:si>
  <x:si>
    <x:t>MEDUO7664016</x:t>
  </x:si>
  <x:si>
    <x:t>MEDUUL642532</x:t>
  </x:si>
  <x:si>
    <x:t>OOLU2165925830</x:t>
  </x:si>
  <x:si>
    <x:t>YMJAA011047029</x:t>
  </x:si>
  <x:si>
    <x:t>COSU6423204166</x:t>
  </x:si>
  <x:si>
    <x:t>OOLU2162247260</x:t>
  </x:si>
  <x:si>
    <x:t>SCL600064200</x:t>
  </x:si>
  <x:si>
    <x:t>MAEU265464923</x:t>
  </x:si>
  <x:si>
    <x:t>MEDUUL888515</x:t>
  </x:si>
  <x:si>
    <x:t>MAEU266470054</x:t>
  </x:si>
  <x:si>
    <x:t>MAEU266745265</x:t>
  </x:si>
  <x:si>
    <x:t>MEDUUL865166</x:t>
  </x:si>
  <x:si>
    <x:t>MEDUUL875926</x:t>
  </x:si>
  <x:si>
    <x:t>MAEU721188585</x:t>
  </x:si>
  <x:si>
    <x:t>MEDUUL891469</x:t>
  </x:si>
  <x:si>
    <x:t>MAEU266134968</x:t>
  </x:si>
  <x:si>
    <x:t>MAEU721182388</x:t>
  </x:si>
  <x:si>
    <x:t>MEDUUL891394</x:t>
  </x:si>
  <x:si>
    <x:t>MAEU263640311</x:t>
  </x:si>
  <x:si>
    <x:t>MEDUUL863427</x:t>
  </x:si>
  <x:si>
    <x:t>MAEU266065741</x:t>
  </x:si>
  <x:si>
    <x:t>MAEU266918039</x:t>
  </x:si>
  <x:si>
    <x:t>MAEU239834458</x:t>
  </x:si>
  <x:si>
    <x:t>민강에프앤비(9600)</x:t>
  </x:si>
  <x:si>
    <x:t>MAEU721291900</x:t>
  </x:si>
  <x:si>
    <x:t>삼진2,판매금지,제니스</x:t>
  </x:si>
  <x:si>
    <x:t>MAEU265259460</x:t>
  </x:si>
  <x:si>
    <x:t>MEDUW6776779</x:t>
  </x:si>
  <x:si>
    <x:t>MAEU238843740</x:t>
  </x:si>
  <x:si>
    <x:t xml:space="preserve">MEDUVC742487 </x:t>
  </x:si>
  <x:si>
    <x:t>MEDUUL873327</x:t>
  </x:si>
  <x:si>
    <x:t>OOLU2154486230</x:t>
  </x:si>
  <x:si>
    <x:t>OOLU2161905060</x:t>
  </x:si>
  <x:si>
    <x:t>OOLU2166751090</x:t>
  </x:si>
  <x:si>
    <x:t>OOLU2165221720</x:t>
  </x:si>
  <x:si>
    <x:t>MEDUUL893515</x:t>
  </x:si>
  <x:si>
    <x:t>MAEU247317244</x:t>
  </x:si>
  <x:si>
    <x:t>MEDUVC733601</x:t>
  </x:si>
  <x:si>
    <x:t>MEDUVC737578</x:t>
  </x:si>
  <x:si>
    <x:t>MAEU720507627</x:t>
  </x:si>
  <x:si>
    <x:t>MEDUVC742438</x:t>
  </x:si>
  <x:si>
    <x:t>MAEU720644477</x:t>
  </x:si>
  <x:si>
    <x:t>MAEU256664718</x:t>
  </x:si>
  <x:si>
    <x:t>MEDUVC714247</x:t>
  </x:si>
  <x:si>
    <x:t>MAEU720590562</x:t>
  </x:si>
  <x:si>
    <x:t>MEDUUL762603</x:t>
  </x:si>
  <x:si>
    <x:t>CS,SWC,강동2,삼진1,에이스처인,제니스</x:t>
  </x:si>
  <x:si>
    <x:t>CS,오로라,제니스</x:t>
  </x:si>
  <x:si>
    <x:t>EXCEL 하이리버</x:t>
  </x:si>
  <x:si>
    <x:t>TONNIES 테니쉬</x:t>
  </x:si>
  <x:si>
    <x:t>NAM8082628</x:t>
  </x:si>
  <x:si>
    <x:t>ROSDERRA</x:t>
  </x:si>
  <x:si>
    <x:t>SWIFT
 블루리본</x:t>
  </x:si>
  <x:si>
    <x:t>IBP 아이비피</x:t>
  </x:si>
  <x:si>
    <x:t>CS,대재,삼진2</x:t>
  </x:si>
  <x:si>
    <x:t>CH/CAB/PR</x:t>
  </x:si>
  <x:si>
    <x:t>80, 270A</x:t>
  </x:si>
  <x:si>
    <x:t>SHOW. 5STAR</x:t>
  </x:si>
  <x:si>
    <x:t>KILCOY
 킬코이</x:t>
  </x:si>
  <x:si>
    <x:t>SWC,제니스,한라</x:t>
  </x:si>
  <x:si>
    <x:t>SWIFT 스위프트</x:t>
  </x:si>
  <x:si>
    <x:t>SSZ1678494</x:t>
  </x:si>
  <x:si>
    <x:t>CS,SWC,제니스</x:t>
  </x:si>
  <x:si>
    <x:t>에이스푸드림/6000</x:t>
  </x:si>
  <x:si>
    <x:t>SSZ1709887</x:t>
  </x:si>
  <x:si>
    <x:t>탕갈비(MEATY)</x:t>
  </x:si>
  <x:si>
    <x:t>OAKEY 오키</x:t>
  </x:si>
  <x:si>
    <x:t>LOCKS 럭스</x:t>
  </x:si>
  <x:si>
    <x:t>AEL1856443</x:t>
  </x:si>
  <x:si>
    <x:t>VRE011871</x:t>
  </x:si>
  <x:si>
    <x:t>삼겹양지(PCS)</x:t>
  </x:si>
  <x:si>
    <x:t>목촌마을(4800원)</x:t>
  </x:si>
  <x:si>
    <x:t>레이푸드트레이딩</x:t>
  </x:si>
  <x:si>
    <x:t>SEARA 씨에라</x:t>
  </x:si>
  <x:si>
    <x:t>배민 및 상시용</x:t>
  </x:si>
  <x:si>
    <x:t>SADIA 사디아</x:t>
  </x:si>
  <x:si>
    <x:t>TEYS
 티스</x:t>
  </x:si>
  <x:si>
    <x:t>VRE012136</x:t>
  </x:si>
  <x:si>
    <x:t>SLAB007594</x:t>
  </x:si>
  <x:si>
    <x:t>AEL1847556</x:t>
  </x:si>
  <x:si>
    <x:t>SMITHFIELD</x:t>
  </x:si>
  <x:si>
    <x:t>AEL1926611</x:t>
  </x:si>
  <x:si>
    <x:t>VRE008654</x:t>
  </x:si>
  <x:si>
    <x:t>도원미트트레이딩</x:t>
  </x:si>
  <x:si>
    <x:t>IBC1379557</x:t>
  </x:si>
  <x:si>
    <x:t>미트포인트(대표님)</x:t>
  </x:si>
  <x:si>
    <x:t>AGROSUPER</x:t>
  </x:si>
  <x:si>
    <x:t>VRE010716</x:t>
  </x:si>
  <x:si>
    <x:t>AEL1852981</x:t>
  </x:si>
  <x:si>
    <x:t>10.21231/B</x:t>
  </x:si>
  <x:si>
    <x:t>AUME2500174</x:t>
  </x:si>
  <x:si>
    <x:t>PERDIGAO</x:t>
  </x:si>
  <x:si>
    <x:t>MASIATERO</x:t>
  </x:si>
  <x:si>
    <x:t>VRE011486</x:t>
  </x:si>
  <x:si>
    <x:t>INCARLOPSA</x:t>
  </x:si>
  <x:si>
    <x:t>NAM8019206</x:t>
  </x:si>
  <x:si>
    <x:t>NAM7133121</x:t>
  </x:si>
  <x:si>
    <x:t>BUD0099713</x:t>
  </x:si>
  <x:si>
    <x:t>VRE011916</x:t>
  </x:si>
  <x:si>
    <x:t>10.02141/CU</x:t>
  </x:si>
  <x:si>
    <x:t>ALEJANDRO</x:t>
  </x:si>
  <x:si>
    <x:t>AEL1955496</x:t>
  </x:si>
  <x:si>
    <x:t>WESTFORT</x:t>
  </x:si>
  <x:si>
    <x:t>MIDFIELD</x:t>
  </x:si>
  <x:si>
    <x:t>26010761VM</x:t>
  </x:si>
  <x:si>
    <x:t>NAM7828041</x:t>
  </x:si>
  <x:si>
    <x:t>NAM8175779</x:t>
  </x:si>
  <x:si>
    <x:t>상이품-갈비덧살</x:t>
  </x:si>
  <x:si>
    <x:t>AEL2002625</x:t>
  </x:si>
  <x:si>
    <x:t>NAM8269836</x:t>
  </x:si>
  <x:si>
    <x:t>고집센그집갈비탕</x:t>
  </x:si>
  <x:si>
    <x:t>우볼살(규격X)</x:t>
  </x:si>
  <x:si>
    <x:t>창성푸드(8100원)</x:t>
  </x:si>
  <x:si>
    <x:t>NAM7583803</x:t>
  </x:si>
  <x:si>
    <x:t>AEL1953235</x:t>
  </x:si>
  <x:si>
    <x:t>AEL1946952</x:t>
  </x:si>
  <x:si>
    <x:t>S00070646</x:t>
  </x:si>
  <x:si>
    <x:t>AEL1971890</x:t>
  </x:si>
  <x:si>
    <x:t>목촌마을(5700원)</x:t>
  </x:si>
  <x:si>
    <x:t>GREENLEA</x:t>
  </x:si>
  <x:si>
    <x:t>박스 실물 SWIFT</x:t>
  </x:si>
  <x:si>
    <x:t>NAM8317464</x:t>
  </x:si>
  <x:si>
    <x:t>AEL1974893</x:t>
  </x:si>
  <x:si>
    <x:t>NAM7764374</x:t>
  </x:si>
  <x:si>
    <x:t>SLAM008413</x:t>
  </x:si>
  <x:si>
    <x:t>NAM7926818</x:t>
  </x:si>
  <x:si>
    <x:t>NAM7969148</x:t>
  </x:si>
  <x:si>
    <x:t>AEL1986591</x:t>
  </x:si>
  <x:si>
    <x:t>CANTERBURY</x:t>
  </x:si>
  <x:si>
    <x:t>대재,삼진2,제니스</x:t>
  </x:si>
  <x:si>
    <x:t>상이품-조각미티탕갈비</x:t>
  </x:si>
  <x:si>
    <x:t>NAM7656567</x:t>
  </x:si>
  <x:si>
    <x:t>NAM7577939</x:t>
  </x:si>
  <x:si>
    <x:t>NAM7825034</x:t>
  </x:si>
  <x:si>
    <x:t>NAM7550896</x:t>
  </x:si>
  <x:si>
    <x:t>NAM7600773</x:t>
  </x:si>
  <x:si>
    <x:t>NAM7988657</x:t>
  </x:si>
  <x:si>
    <x:t>창고 전산 - 탕갈비</x:t>
  </x:si>
  <x:si>
    <x:t>NAM7604220</x:t>
  </x:si>
  <x:si>
    <x:t>SHOWCASE</x:t>
  </x:si>
  <x:si>
    <x:t>GREENHAM</x:t>
  </x:si>
  <x:si>
    <x:t>UPPER IOWA</x:t>
  </x:si>
  <x:si>
    <x:t>NAM7218157</x:t>
  </x:si>
  <x:si>
    <x:t>NAM7782686</x:t>
  </x:si>
  <x:si>
    <x:t>EXCEL
 엑셀</x:t>
  </x:si>
  <x:si>
    <x:t>멕시칼리 17000</x:t>
  </x:si>
  <x:si>
    <x:t>냉  장   우  육</x:t>
  </x:si>
  <x:si>
    <x:t>340/350/370</x:t>
  </x:si>
  <x:si>
    <x:t>470/500/540</x:t>
  </x:si>
  <x:si>
    <x:t>NOLAN 놀란</x:t>
  </x:si>
  <x:si>
    <x:t>SWC,강동1,제니스</x:t>
  </x:si>
  <x:si>
    <x:t>185/190/210</x:t>
  </x:si>
  <x:si>
    <x:t>CS / 26년 4월</x:t>
  </x:si>
  <x:si>
    <x:t>CS,에이스처인</x:t>
  </x:si>
  <x:si>
    <x:t>강동1,삼진2,제니스</x:t>
  </x:si>
  <x:si>
    <x:t>에이스기흥,제니스</x:t>
  </x:si>
  <x:si>
    <x:t>OMAHA 오마하</x:t>
  </x:si>
  <x:si>
    <x:t>이스트밸리,제니스</x:t>
  </x:si>
  <x:si>
    <x:t>CS,대재,제니스</x:t>
  </x:si>
  <x:si>
    <x:t>SWC,제니스,프라자</x:t>
  </x:si>
  <x:si>
    <x:t>오로라/26년 10월</x:t>
  </x:si>
  <x:si>
    <x:t>AURORA 오로라</x:t>
  </x:si>
  <x:si>
    <x:t>강동2,대청,제니스</x:t>
  </x:si>
  <x:si>
    <x:t>NAM7717161</x:t>
  </x:si>
  <x:si>
    <x:t>NAM6611943</x:t>
  </x:si>
  <x:si>
    <x:t>CS,에이스기흥</x:t>
  </x:si>
  <x:si>
    <x:t>AEL1720025</x:t>
  </x:si>
  <x:si>
    <x:t>NAM7035123</x:t>
  </x:si>
  <x:si>
    <x:t>대재,씨에이치,제니스</x:t>
  </x:si>
  <x:si>
    <x:t>줄리아 JULA</x:t>
  </x:si>
  <x:si>
    <x:t>NAM6539606</x:t>
  </x:si>
  <x:si>
    <x:t>2026. 10 .1</x:t>
  </x:si>
  <x:si>
    <x:t>NAM7297670</x:t>
  </x:si>
  <x:si>
    <x:t>AEL1741874</x:t>
  </x:si>
  <x:si>
    <x:t>강동1,대재,효성</x:t>
  </x:si>
  <x:si>
    <x:t>에이스용인,제니스</x:t>
  </x:si>
  <x:si>
    <x:t>OLYMEL 올리멜</x:t>
  </x:si>
  <x:si>
    <x:t>TICAN 티칸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</x:si>
</x:sst>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6">
    <x:numFmt numFmtId="164" formatCode="yyyy.\ m.\ d"/>
    <x:numFmt numFmtId="165" formatCode="yyyy\-mm\-dd"/>
    <x:numFmt numFmtId="166" formatCode="yyyy\-mm\-dd\ h:mm:ss"/>
    <x:numFmt numFmtId="167" formatCode="m/d"/>
    <x:numFmt numFmtId="168" formatCode="yyyy/m/d;@"/>
    <x:numFmt numFmtId="169" formatCode="0_ "/>
  </x:numFmts>
  <x:fonts count="2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4"/>
      <x:color rgb="ff000000"/>
      <x:b val="1"/>
    </x:font>
    <x:font>
      <x:name val="Malgun Gothic"/>
      <x:sz val="11"/>
      <x:color rgb="ff000000"/>
    </x:font>
    <x:font>
      <x:name val="Arial"/>
      <x:sz val="15"/>
      <x:color rgb="ff000000"/>
      <x:b val="1"/>
    </x:font>
    <x:font>
      <x:name val="Arial"/>
      <x:sz val="15"/>
      <x:color rgb="ff0000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5"/>
          <x:color rgb="ff9900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5"/>
          <x:color rgb="ff99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5"/>
          <x:color rgb="ff85200c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5"/>
          <x:color rgb="ff85200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5"/>
          <x:color rgb="ff98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5"/>
          <x:color rgb="ff98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5"/>
          <x:color rgb="ffa61c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5"/>
          <x:color rgb="ffa61c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3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5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5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3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3"/>
          <x:color rgb="ff0000ff"/>
          <x:b val="1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00000"/>
          <x:b val="1"/>
        </x:font>
      </mc:Fallback>
    </mc:AlternateContent>
  </x:fonts>
  <x:fills count="17">
    <x:fill>
      <x:patternFill patternType="none"/>
    </x:fill>
    <x:fill>
      <x:patternFill patternType="gray125"/>
    </x:fill>
    <x:fill>
      <x:patternFill patternType="solid">
        <x:fgColor rgb="ffb7b7b7"/>
        <x:bgColor rgb="ffb7b7b7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3f3f3"/>
        <x:bgColor rgb="fff3f3f3"/>
      </x:patternFill>
    </x:fill>
    <x:fill>
      <x:patternFill patternType="solid">
        <x:fgColor rgb="ffffd966"/>
        <x:bgColor rgb="ffffd966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b6d7a8"/>
        <x:bgColor rgb="ffb6d7a8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f79646"/>
        <x:bgColor rgb="fff79646"/>
      </x:patternFill>
    </x:fill>
    <x:fill>
      <x:patternFill patternType="solid">
        <x:fgColor rgb="ffff9900"/>
        <x:bgColor rgb="ffff9900"/>
      </x:patternFill>
    </x:fill>
    <x:fill>
      <x:patternFill patternType="solid">
        <x:fgColor rgb="ff92cddc"/>
        <x:bgColor rgb="ff92cddc"/>
      </x:patternFill>
    </x:fill>
    <x:fill>
      <x:patternFill patternType="solid">
        <x:fgColor rgb="fff2dcdb"/>
        <x:bgColor rgb="fff2dcdb"/>
      </x:patternFill>
    </x:fill>
    <x:fill>
      <x:patternFill patternType="solid">
        <x:fgColor rgb="ffdaeef3"/>
        <x:bgColor rgb="ffdaeef3"/>
      </x:patternFill>
    </x:fill>
    <x:fill>
      <x:patternFill patternType="solid">
        <x:fgColor rgb="ffebf1de"/>
        <x:bgColor rgb="ffebf1de"/>
      </x:patternFill>
    </x:fill>
    <x:fill>
      <x:patternFill patternType="solid">
        <x:fgColor rgb="ffe4dfec"/>
        <x:bgColor rgb="ffe4dfec"/>
      </x:patternFill>
    </x:fill>
    <x:fill>
      <x:patternFill patternType="solid">
        <x:fgColor rgb="ffddd9c4"/>
        <x:bgColor rgb="ffddd9c4"/>
      </x:patternFill>
    </x:fill>
  </x:fills>
  <x:borders count="10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>
        <x:color indexed="64"/>
      </x:left>
      <x:right>
        <x:color indexed="64"/>
      </x:right>
      <x:top style="thin">
        <x:color rgb="ff000000"/>
      </x:top>
      <x:bottom>
        <x:color indexed="64"/>
      </x:bottom>
    </x:border>
    <x:border>
      <x:left>
        <x:color indexed="64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>
        <x:color indexed="64"/>
      </x:bottom>
    </x:border>
    <x:border>
      <x:left style="thin">
        <x:color rgb="ff000000"/>
      </x:left>
      <x:right>
        <x:color indexed="64"/>
      </x:right>
      <x:top style="thin">
        <x:color rgb="ff000000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90">
    <x:xf numFmtId="0" fontId="0" fillId="0" borderId="0" xfId="0">
      <x:alignment horizontal="general" vertical="center"/>
    </x:xf>
    <x:xf numFmtId="0" fontId="0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2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2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" fontId="6" fillId="2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6" fillId="2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4" borderId="4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4" borderId="4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" fontId="6" fillId="4" borderId="4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6" fillId="4" borderId="4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3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3" borderId="4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3" borderId="4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" fontId="6" fillId="3" borderId="4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6" fillId="3" borderId="4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0" xfId="0" applyNumberFormat="1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0" applyNumberFormat="1" applyFont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5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5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8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8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8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8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" fontId="8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" fontId="8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" fontId="8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" fontId="8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9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9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0" xfId="0" applyNumberFormat="1" applyFont="1" applyAlignment="1">
          <x:alignment horizontal="center" vertical="bottom"/>
        </x:xf>
      </mc:Fallback>
    </mc:AlternateContent>
    <x:xf numFmtId="0" fontId="13" fillId="6" borderId="1" xfId="0" applyNumberFormat="1" applyFont="1" applyBorder="1" applyAlignment="1">
      <x:alignment horizontal="general" vertical="bottom"/>
    </x:xf>
    <x:xf numFmtId="0" fontId="13" fillId="3" borderId="1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4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right" vertical="bottom"/>
        </x:xf>
      </mc:Fallback>
    </mc:AlternateContent>
    <x:xf numFmtId="0" fontId="1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right" vertical="bottom"/>
        </x:xf>
      </mc:Fallback>
    </mc:AlternateContent>
    <x:xf numFmtId="0" fontId="16" fillId="0" borderId="0" xfId="0" applyNumberFormat="1" applyFont="1" applyAlignment="1">
      <x:alignment horizontal="general" vertical="center"/>
    </x:xf>
    <x:xf numFmtId="165" fontId="18" fillId="0" borderId="5" xfId="0" applyNumberFormat="1" applyFont="1" applyBorder="1" applyAlignment="1">
      <x:alignment horizontal="left" vertical="bottom"/>
    </x:xf>
    <x:xf numFmtId="165" fontId="18" fillId="0" borderId="6" xfId="0" applyNumberFormat="1" applyFont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19" fillId="8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8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8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8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0" fillId="8" borderId="1" xfId="0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0" fillId="8" borderId="1" xfId="0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9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9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7" fillId="9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7" fillId="9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0" fillId="8" borderId="1" xfId="0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0" fillId="8" borderId="1" xfId="0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0" fillId="8" borderId="1" xfId="0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0" fillId="8" borderId="1" xfId="0" applyNumberFormat="1" applyFont="1" applyBorder="1" applyAlignment="1">
          <x:alignment horizontal="right" vertical="bottom"/>
        </x:xf>
      </mc:Fallback>
    </mc:AlternateContent>
    <x:xf numFmtId="3" fontId="17" fillId="8" borderId="1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7" fillId="1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7" fillId="1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7" fillId="1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7" fillId="1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7" fillId="0" borderId="1" xfId="0" applyNumberFormat="1" applyFont="1" applyBorder="1" applyAlignment="1">
          <x:alignment horizontal="center" vertical="center"/>
        </x:xf>
      </mc:Fallback>
    </mc:AlternateContent>
    <x:xf numFmtId="0" fontId="8" fillId="5" borderId="1" xfId="0" applyNumberFormat="1" applyFont="1" applyBorder="1" applyAlignment="1">
      <x:alignment horizontal="general" vertical="bottom"/>
    </x:xf>
    <x:xf numFmtId="49" fontId="8" fillId="5" borderId="1" xfId="0" applyNumberFormat="1" applyFont="1" applyBorder="1" applyAlignment="1">
      <x:alignment horizontal="general" vertical="bottom"/>
    </x:xf>
    <x:xf numFmtId="3" fontId="21" fillId="5" borderId="1" xfId="0" applyNumberFormat="1" applyFont="1" applyBorder="1" applyAlignment="1">
      <x:alignment horizontal="general" vertical="bottom"/>
    </x:xf>
    <x:xf numFmtId="3" fontId="21" fillId="5" borderId="0" xfId="0" applyNumberFormat="1" applyFont="1" applyAlignment="1">
      <x:alignment horizontal="general" vertical="bottom"/>
    </x:xf>
    <x:xf numFmtId="3" fontId="17" fillId="5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NumberFormat="1" applyFont="1" applyBorder="1" applyAlignment="1">
          <x:alignment horizontal="center" vertical="bottom"/>
        </x:xf>
      </mc:Fallback>
    </mc:AlternateContent>
    <x:xf numFmtId="0" fontId="17" fillId="3" borderId="1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8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8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8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" fontId="8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" fontId="8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2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2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2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2" fillId="3" borderId="1" xfId="0" applyNumberFormat="1" applyFont="1" applyBorder="1" applyAlignment="1">
          <x:alignment horizontal="center" vertical="bottom"/>
        </x:xf>
      </mc:Fallback>
    </mc:AlternateContent>
    <x:xf numFmtId="3" fontId="17" fillId="3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8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8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" fontId="8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" fontId="8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2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2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2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2" fillId="6" borderId="1" xfId="0" applyNumberFormat="1" applyFont="1" applyBorder="1" applyAlignment="1">
          <x:alignment horizontal="center" vertical="bottom"/>
        </x:xf>
      </mc:Fallback>
    </mc:AlternateContent>
    <x:xf numFmtId="3" fontId="17" fillId="6" borderId="0" xfId="0" applyNumberFormat="1" applyFont="1" applyAlignment="1">
      <x:alignment horizontal="general" vertical="bottom"/>
    </x:xf>
    <x:xf numFmtId="3" fontId="17" fillId="6" borderId="0" xfId="0" applyNumberFormat="1" applyFont="1" applyAlignment="1">
      <x:alignment horizontal="general" vertical="bottom"/>
    </x:xf>
    <x:xf numFmtId="3" fontId="17" fillId="3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8" fillId="6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6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3" borderId="1" xfId="0" applyNumberFormat="1" applyFont="1" applyBorder="1" applyAlignment="1">
          <x:alignment horizontal="center" vertical="bottom"/>
        </x:xf>
      </mc:Fallback>
    </mc:AlternateContent>
    <x:xf numFmtId="0" fontId="17" fillId="6" borderId="1" xfId="0" applyNumberFormat="1" applyFont="1" applyBorder="1" applyAlignment="1">
      <x:alignment horizontal="general" vertical="bottom"/>
    </x:xf>
    <x:xf numFmtId="0" fontId="17" fillId="6" borderId="0" xfId="0" applyNumberFormat="1" applyFont="1" applyAlignment="1">
      <x:alignment horizontal="general" vertical="bottom"/>
    </x:xf>
    <x:xf numFmtId="49" fontId="17" fillId="6" borderId="0" xfId="0" applyNumberFormat="1" applyFont="1" applyAlignment="1">
      <x:alignment horizontal="general" vertical="bottom"/>
    </x:xf>
    <x:xf numFmtId="3" fontId="17" fillId="6" borderId="0" xfId="0" applyNumberFormat="1" applyFont="1" applyAlignment="1">
      <x:alignment horizontal="general" vertical="bottom"/>
    </x:xf>
    <x:xf numFmtId="164" fontId="17" fillId="6" borderId="0" xfId="0" applyNumberFormat="1" applyFont="1" applyAlignment="1">
      <x:alignment horizontal="general" vertical="bottom"/>
    </x:xf>
    <x:xf numFmtId="4" fontId="17" fillId="6" borderId="0" xfId="0" applyNumberFormat="1" applyFont="1" applyAlignment="1">
      <x:alignment horizontal="general" vertical="bottom"/>
    </x:xf>
    <x:xf numFmtId="0" fontId="17" fillId="3" borderId="0" xfId="0" applyNumberFormat="1" applyFont="1" applyAlignment="1">
      <x:alignment horizontal="general" vertical="bottom"/>
    </x:xf>
    <x:xf numFmtId="49" fontId="17" fillId="3" borderId="0" xfId="0" applyNumberFormat="1" applyFont="1" applyAlignment="1">
      <x:alignment horizontal="general" vertical="bottom"/>
    </x:xf>
    <x:xf numFmtId="3" fontId="17" fillId="3" borderId="0" xfId="0" applyNumberFormat="1" applyFont="1" applyAlignment="1">
      <x:alignment horizontal="general" vertical="bottom"/>
    </x:xf>
    <x:xf numFmtId="164" fontId="17" fillId="3" borderId="0" xfId="0" applyNumberFormat="1" applyFont="1" applyAlignment="1">
      <x:alignment horizontal="general" vertical="bottom"/>
    </x:xf>
    <x:xf numFmtId="4" fontId="17" fillId="3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6" fillId="2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4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4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" fontId="6" fillId="4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" fontId="6" fillId="4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3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" fontId="6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" fontId="6" fillId="3" borderId="1" xfId="0" applyNumberFormat="1" applyFont="1" applyBorder="1" applyAlignment="1">
          <x:alignment horizontal="center" vertical="bottom"/>
        </x:xf>
      </mc:Fallback>
    </mc:AlternateContent>
    <x:xf numFmtId="49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8" fillId="5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5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6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6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3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3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7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7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6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6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3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3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1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1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3" borderId="1" xfId="0" applyNumberFormat="1" applyFont="1" applyFill="1" applyBorder="1" applyAlignment="1" applyProtection="1">
          <x:alignment horizontal="center" vertical="bottom"/>
        </x:xf>
      </mc:Fallback>
    </mc:AlternateContent>
    <x:xf numFmtId="168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8" fontId="8" fillId="5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8" fillId="5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8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8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8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8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9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9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9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9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0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0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8" fillId="7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8" fillId="7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0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0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1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1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1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1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2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2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2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2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4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4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3" borderId="1" xfId="0" quotePrefix="1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3" borderId="1" xfId="0" quotePrefix="1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6" borderId="1" xfId="0" quotePrefix="1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6" borderId="1" xfId="0" quotePrefix="1" applyNumberFormat="1" applyFont="1" applyFill="1" applyBorder="1" applyAlignment="1" applyProtection="1">
          <x:alignment horizontal="center" vertical="bottom"/>
        </x:xf>
      </mc:Fallback>
    </mc:AlternateContent>
    <x:xf numFmtId="169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9" fontId="8" fillId="5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8" fillId="5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8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8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8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8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9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9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9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9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10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10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8" fillId="7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8" fillId="7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10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10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11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11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11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11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12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12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12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12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14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14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3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3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4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4" fillId="3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7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7" xfId="0" applyNumberFormat="1" applyFont="1" applyBorder="1" applyAlignment="1">
          <x:alignment horizontal="center" vertical="bottom"/>
        </x:xf>
      </mc:Fallback>
    </mc:AlternateContent>
    <x:xf numFmtId="0" fontId="25" fillId="3" borderId="8" xfId="0" applyNumberFormat="1" applyFont="1" applyBorder="1" applyAlignment="1">
      <x:alignment horizontal="general" vertical="bottom"/>
    </x:xf>
    <x:xf numFmtId="0" fontId="25" fillId="4" borderId="8" xfId="0" applyNumberFormat="1" applyFont="1" applyBorder="1" applyAlignment="1">
      <x:alignment horizontal="general" vertical="bottom"/>
    </x:xf>
    <x:xf numFmtId="0" fontId="25" fillId="3" borderId="3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7" xfId="0" applyNumberFormat="1" applyFont="1" applyBorder="1" applyAlignment="1">
          <x:alignment horizontal="center" vertical="center"/>
        </x:xf>
      </mc:Fallback>
    </mc:AlternateContent>
    <x:xf numFmtId="0" fontId="25" fillId="0" borderId="3" xfId="0" applyNumberFormat="1" applyFont="1" applyBorder="1" applyAlignment="1">
      <x:alignment horizontal="general" vertical="bottom"/>
    </x:xf>
    <x:xf numFmtId="0" fontId="25" fillId="0" borderId="8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9" fillId="11" borderId="7" xfId="0" applyNumberFormat="1" applyFont="1" applyBorder="1" applyAlignment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1" borderId="7" xfId="0" applyNumberFormat="1" applyFont="1" applyBorder="1" applyAlignment="1">
          <x:alignment horizontal="center" vertical="center" textRotation="255"/>
        </x:xf>
      </mc:Fallback>
    </mc:AlternateContent>
    <x:xf numFmtId="165" fontId="26" fillId="0" borderId="0" xfId="0" applyNumberFormat="1" applyFont="1" applyAlignment="1">
      <x:alignment horizontal="left" vertical="center"/>
    </x:xf>
    <x:xf numFmtId="165" fontId="18" fillId="0" borderId="9" xfId="0" applyNumberFormat="1" applyFont="1" applyBorder="1" applyAlignment="1">
      <x:alignment horizontal="left" vertical="bottom"/>
    </x:xf>
    <x:xf numFmtId="0" fontId="25" fillId="0" borderId="5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9" fillId="12" borderId="7" xfId="0" applyNumberFormat="1" applyFont="1" applyBorder="1" applyAlignment="1" hs:applyExtension="1">
          <x:alignment horizontal="center" vertical="center" textRotation="255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7" xfId="0" applyNumberFormat="1" applyFont="1" applyBorder="1" applyAlignment="1">
          <x:alignment horizontal="center" vertical="center" textRotation="255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3" borderId="7" xfId="0" applyNumberFormat="1" applyFont="1" applyBorder="1" applyAlignment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3" borderId="7" xfId="0" applyNumberFormat="1" applyFont="1" applyBorder="1" applyAlignment="1">
          <x:alignment horizontal="center" vertical="center" textRotation="25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4" borderId="7" xfId="0" applyNumberFormat="1" applyFont="1" applyBorder="1" applyAlignment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4" borderId="7" xfId="0" applyNumberFormat="1" applyFont="1" applyBorder="1" applyAlignment="1">
          <x:alignment horizontal="center" vertical="center" textRotation="25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5" borderId="7" xfId="0" applyNumberFormat="1" applyFont="1" applyBorder="1" applyAlignment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5" borderId="7" xfId="0" applyNumberFormat="1" applyFont="1" applyBorder="1" applyAlignment="1">
          <x:alignment horizontal="center" vertical="center" textRotation="25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6" borderId="7" xfId="0" applyNumberFormat="1" applyFont="1" applyBorder="1" applyAlignment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6" borderId="7" xfId="0" applyNumberFormat="1" applyFont="1" applyBorder="1" applyAlignment="1">
          <x:alignment horizontal="center" vertical="center" textRotation="25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4" fillId="6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4" fillId="6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3" fillId="3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3" fillId="3" borderId="1" xfId="0" applyNumberFormat="1" applyFont="1" applyFill="1" applyBorder="1" applyAlignment="1" applyProtection="1">
          <x:alignment horizontal="center" vertical="bottom"/>
        </x:xf>
      </mc:Fallback>
    </mc:AlternateContent>
  </x:cellXfs>
  <x:cellStyles count="1">
    <x:cellStyle name="Normal" xfId="0" builtinId="0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 patternType="solid">
          <x:fgColor rgb="ffff0000"/>
          <x:bgColor rgb="ffff0000"/>
        </x:patternFill>
      </x:fill>
    </x:dxf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2.vml"  /><Relationship Id="rId2" Type="http://schemas.openxmlformats.org/officeDocument/2006/relationships/comments" Target="../comments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100"/>
  <x:sheetViews>
    <x:sheetView topLeftCell="A1" zoomScaleNormal="100" zoomScaleSheetLayoutView="75" workbookViewId="0">
      <x:selection activeCell="A1" activeCellId="0" sqref="A1:A1"/>
    </x:sheetView>
  </x:sheetViews>
  <x:sheetFormatPr defaultColWidth="12.62890625" defaultRowHeight="15.75" customHeight="1"/>
  <x:cols>
    <x:col min="2" max="2" width="20.25" style="1" customWidth="1"/>
    <x:col min="7" max="7" width="24.5" style="1" customWidth="1"/>
    <x:col min="8" max="8" width="14" style="1" customWidth="1"/>
  </x:cols>
  <x:sheetData>
    <x:row r="1" spans="1:9" ht="20.649999999999999">
      <x:c r="A1" s="2" t="s">
        <x:v>629</x:v>
      </x:c>
      <x:c r="B1" s="2" t="s">
        <x:v>623</x:v>
      </x:c>
      <x:c r="C1" s="2" t="s">
        <x:v>619</x:v>
      </x:c>
      <x:c r="D1" s="2" t="s">
        <x:v>647</x:v>
      </x:c>
      <x:c r="E1" s="2" t="s">
        <x:v>632</x:v>
      </x:c>
      <x:c r="F1" s="2" t="s">
        <x:v>645</x:v>
      </x:c>
      <x:c r="G1" s="3" t="s">
        <x:v>622</x:v>
      </x:c>
      <x:c r="H1" s="4" t="s">
        <x:v>545</x:v>
      </x:c>
      <x:c r="I1" s="5" t="s">
        <x:v>661</x:v>
      </x:c>
    </x:row>
    <x:row r="2" spans="1:9" ht="20.649999999999999">
      <x:c r="A2" s="6"/>
      <x:c r="B2" s="7" t="s">
        <x:v>780</x:v>
      </x:c>
      <x:c r="C2" s="7"/>
      <x:c r="D2" s="7"/>
      <x:c r="E2" s="7"/>
      <x:c r="F2" s="7"/>
      <x:c r="G2" s="7"/>
      <x:c r="H2" s="7"/>
      <x:c r="I2" s="7"/>
    </x:row>
    <x:row r="3" spans="1:9" ht="20.649999999999999">
      <x:c r="A3" s="171"/>
      <x:c r="B3" s="8" t="s">
        <x:v>543</x:v>
      </x:c>
      <x:c r="C3" s="8" t="str">
        <x:f t="array" ref="C3:C3">IFERROR(INDEX(,SMALL(IF((품목검색!A2=A),MATCH(ROW(찾을범위),ROW(찾을범위)),""),ROWS($A$1:B2)),COLUMNS($A$1:B2)),"")</x:f>
        <x:v/>
      </x:c>
      <x:c r="D3" s="8" t="str">
        <x:f t="array" ref="D3:D3">IFERROR(INDEX(출력범위,SMALL(IF((찾을값=찾을범위),MATCH(ROW(찾을범위),ROW(찾을범위)),""),ROWS($A$1:C2)),COLUMNS($A$1:C2)),"")</x:f>
        <x:v/>
      </x:c>
      <x:c r="E3" s="8" t="str">
        <x:f t="array" ref="E3:E3">IFERROR(INDEX(출력범위,SMALL(IF((찾을값=찾을범위),MATCH(ROW(찾을범위),ROW(찾을범위)),""),ROWS($A$1:D2)),COLUMNS($A$1:D2)),"")</x:f>
        <x:v/>
      </x:c>
      <x:c r="F3" s="8" t="str">
        <x:f t="array" ref="F3:F3">IFERROR(INDEX(출력범위,SMALL(IF((찾을값=찾을범위),MATCH(ROW(찾을범위),ROW(찾을범위)),""),ROWS($A$1:E2)),COLUMNS($A$1:E2)),"")</x:f>
        <x:v/>
      </x:c>
      <x:c r="G3" s="9" t="str">
        <x:f t="array" ref="G3:G3">IFERROR(INDEX(출력범위,SMALL(IF((찾을값=찾을범위),MATCH(ROW(찾을범위),ROW(찾을범위)),""),ROWS($A$1:F2)),COLUMNS($A$1:F2)),"")</x:f>
        <x:v/>
      </x:c>
      <x:c r="H3" s="10" t="str">
        <x:f t="array" ref="H3:H3">IFERROR(INDEX(출력범위,SMALL(IF((찾을값=찾을범위),MATCH(ROW(찾을범위),ROW(찾을범위)),""),ROWS($A$1:G2)),COLUMNS($A$1:G2)),"")</x:f>
        <x:v/>
      </x:c>
      <x:c r="I3" s="11" t="str">
        <x:f t="array" ref="I3:I3">IFERROR(INDEX(출력범위,SMALL(IF((찾을값=찾을범위),MATCH(ROW(찾을범위),ROW(찾을범위)),""),ROWS($A$1:H2)),COLUMNS($A$1:H2)),"")</x:f>
        <x:v/>
      </x:c>
    </x:row>
    <x:row r="4" spans="1:9" ht="20.649999999999999">
      <x:c r="A4" s="172"/>
      <x:c r="B4" s="7"/>
      <x:c r="C4" s="7" t="str">
        <x:f t="array" ref="C4:C4">IFERROR(INDEX(출력범위,SMALL(IF((찾을값=찾을범위),MATCH(ROW(찾을범위),ROW(찾을범위)),""),ROWS($A$1:B3)),COLUMNS($A$1:B3)),"")</x:f>
        <x:v/>
      </x:c>
      <x:c r="D4" s="7" t="str">
        <x:f t="array" ref="D4:D4">IFERROR(INDEX(출력범위,SMALL(IF((찾을값=찾을범위),MATCH(ROW(찾을범위),ROW(찾을범위)),""),ROWS($A$1:C3)),COLUMNS($A$1:C3)),"")</x:f>
        <x:v/>
      </x:c>
      <x:c r="E4" s="7" t="str">
        <x:f t="array" ref="E4:E4">IFERROR(INDEX(출력범위,SMALL(IF((찾을값=찾을범위),MATCH(ROW(찾을범위),ROW(찾을범위)),""),ROWS($A$1:D3)),COLUMNS($A$1:D3)),"")</x:f>
        <x:v/>
      </x:c>
      <x:c r="F4" s="7" t="str">
        <x:f t="array" ref="F4:F4">IFERROR(INDEX(출력범위,SMALL(IF((찾을값=찾을범위),MATCH(ROW(찾을범위),ROW(찾을범위)),""),ROWS($A$1:E3)),COLUMNS($A$1:E3)),"")</x:f>
        <x:v/>
      </x:c>
      <x:c r="G4" s="12" t="str">
        <x:f t="array" ref="G4:G4">IFERROR(INDEX(출력범위,SMALL(IF((찾을값=찾을범위),MATCH(ROW(찾을범위),ROW(찾을범위)),""),ROWS($A$1:F3)),COLUMNS($A$1:F3)),"")</x:f>
        <x:v/>
      </x:c>
      <x:c r="H4" s="13" t="str">
        <x:f t="array" ref="H4:H4">IFERROR(INDEX(출력범위,SMALL(IF((찾을값=찾을범위),MATCH(ROW(찾을범위),ROW(찾을범위)),""),ROWS($A$1:G3)),COLUMNS($A$1:G3)),"")</x:f>
        <x:v/>
      </x:c>
      <x:c r="I4" s="14" t="str">
        <x:f t="array" ref="I4:I4">IFERROR(INDEX(출력범위,SMALL(IF((찾을값=찾을범위),MATCH(ROW(찾을범위),ROW(찾을범위)),""),ROWS($A$1:H3)),COLUMNS($A$1:H3)),"")</x:f>
        <x:v/>
      </x:c>
    </x:row>
    <x:row r="5" spans="1:9" ht="20.649999999999999">
      <x:c r="A5" s="173"/>
      <x:c r="B5" s="8"/>
      <x:c r="C5" s="8" t="str">
        <x:f t="array" ref="C5:C5">IFERROR(INDEX(출력범위,SMALL(IF((찾을값=찾을범위),MATCH(ROW(찾을범위),ROW(찾을범위)),""),ROWS($A$1:B4)),COLUMNS($A$1:B4)),"")</x:f>
        <x:v/>
      </x:c>
      <x:c r="D5" s="8" t="str">
        <x:f t="array" ref="D5:D5">IFERROR(INDEX(출력범위,SMALL(IF((찾을값=찾을범위),MATCH(ROW(찾을범위),ROW(찾을범위)),""),ROWS($A$1:C4)),COLUMNS($A$1:C4)),"")</x:f>
        <x:v/>
      </x:c>
      <x:c r="E5" s="8" t="str">
        <x:f t="array" ref="E5:E5">IFERROR(INDEX(출력범위,SMALL(IF((찾을값=찾을범위),MATCH(ROW(찾을범위),ROW(찾을범위)),""),ROWS($A$1:D4)),COLUMNS($A$1:D4)),"")</x:f>
        <x:v/>
      </x:c>
      <x:c r="F5" s="8" t="str">
        <x:f t="array" ref="F5:F5">IFERROR(INDEX(출력범위,SMALL(IF((찾을값=찾을범위),MATCH(ROW(찾을범위),ROW(찾을범위)),""),ROWS($A$1:E4)),COLUMNS($A$1:E4)),"")</x:f>
        <x:v/>
      </x:c>
      <x:c r="G5" s="9" t="str">
        <x:f t="array" ref="G5:G5">IFERROR(INDEX(재고장!A:I,SMALL(IF((찾을값=찾을범위),MATCH(ROW(찾을범위),ROW(찾을범위)),""),ROWS($A$1:F4)),COLUMNS($A$1:F4)),"")</x:f>
        <x:v/>
      </x:c>
      <x:c r="H5" s="10" t="str">
        <x:f t="array" ref="H5:H5">IFERROR(INDEX(출력범위,SMALL(IF((찾을값=찾을범위),MATCH(ROW(찾을범위),ROW(찾을범위)),""),ROWS($A$1:G4)),COLUMNS($A$1:G4)),"")</x:f>
        <x:v/>
      </x:c>
      <x:c r="I5" s="11" t="str">
        <x:f t="array" ref="I5:I5">IFERROR(INDEX(출력범위,SMALL(IF((찾을값=찾을범위),MATCH(ROW(찾을범위),ROW(찾을범위)),""),ROWS($A$1:H4)),COLUMNS($A$1:H4)),"")</x:f>
        <x:v/>
      </x:c>
    </x:row>
    <x:row r="6" spans="1:9" ht="20.649999999999999">
      <x:c r="A6" s="172"/>
      <x:c r="B6" s="7"/>
      <x:c r="C6" s="7" t="str">
        <x:f t="array" ref="C6:C6">IFERROR(INDEX(출력범위,SMALL(IF((찾을값=찾을범위),MATCH(ROW(찾을범위),ROW(찾을범위)),""),ROWS($A$1:B5)),COLUMNS($A$1:B5)),"")</x:f>
        <x:v/>
      </x:c>
      <x:c r="D6" s="7" t="str">
        <x:f t="array" ref="D6:D6">IFERROR(INDEX(출력범위,SMALL(IF((찾을값=찾을범위),MATCH(ROW(찾을범위),ROW(찾을범위)),""),ROWS($A$1:C5)),COLUMNS($A$1:C5)),"")</x:f>
        <x:v/>
      </x:c>
      <x:c r="E6" s="7" t="str">
        <x:f t="array" ref="E6:E6">IFERROR(INDEX(출력범위,SMALL(IF((찾을값=찾을범위),MATCH(ROW(찾을범위),ROW(찾을범위)),""),ROWS($A$1:D5)),COLUMNS($A$1:D5)),"")</x:f>
        <x:v/>
      </x:c>
      <x:c r="F6" s="7" t="str">
        <x:f t="array" ref="F6:F6">IFERROR(INDEX(출력범위,SMALL(IF((찾을값=찾을범위),MATCH(ROW(찾을범위),ROW(찾을범위)),""),ROWS($A$1:E5)),COLUMNS($A$1:E5)),"")</x:f>
        <x:v/>
      </x:c>
      <x:c r="G6" s="12" t="str">
        <x:f t="array" ref="G6:G6">IFERROR(INDEX(출력범위,SMALL(IF((찾을값=찾을범위),MATCH(ROW(찾을범위),ROW(찾을범위)),""),ROWS($A$1:F5)),COLUMNS($A$1:F5)),"")</x:f>
        <x:v/>
      </x:c>
      <x:c r="H6" s="13" t="str">
        <x:f t="array" ref="H6:H6">IFERROR(INDEX(출력범위,SMALL(IF((찾을값=찾을범위),MATCH(ROW(찾을범위),ROW(찾을범위)),""),ROWS($A$1:G5)),COLUMNS($A$1:G5)),"")</x:f>
        <x:v/>
      </x:c>
      <x:c r="I6" s="14" t="str">
        <x:f t="array" ref="I6:I6">IFERROR(INDEX(출력범위,SMALL(IF((찾을값=찾을범위),MATCH(ROW(찾을범위),ROW(찾을범위)),""),ROWS($A$1:H5)),COLUMNS($A$1:H5)),"")</x:f>
        <x:v/>
      </x:c>
    </x:row>
    <x:row r="7" spans="1:9" ht="20.649999999999999">
      <x:c r="A7" s="173"/>
      <x:c r="B7" s="8"/>
      <x:c r="C7" s="8" t="str">
        <x:f t="array" ref="C7:C7">IFERROR(INDEX(출력범위,SMALL(IF((찾을값=찾을범위),MATCH(ROW(찾을범위),ROW(찾을범위)),""),ROWS($A$1:B6)),COLUMNS($A$1:B6)),"")</x:f>
        <x:v/>
      </x:c>
      <x:c r="D7" s="8" t="str">
        <x:f t="array" ref="D7:D7">IFERROR(INDEX(출력범위,SMALL(IF((찾을값=찾을범위),MATCH(ROW(찾을범위),ROW(찾을범위)),""),ROWS($A$1:C6)),COLUMNS($A$1:C6)),"")</x:f>
        <x:v/>
      </x:c>
      <x:c r="E7" s="8" t="str">
        <x:f t="array" ref="E7:E7">IFERROR(INDEX(출력범위,SMALL(IF((찾을값=찾을범위),MATCH(ROW(찾을범위),ROW(찾을범위)),""),ROWS($A$1:D6)),COLUMNS($A$1:D6)),"")</x:f>
        <x:v/>
      </x:c>
      <x:c r="F7" s="8" t="str">
        <x:f t="array" ref="F7:F7">IFERROR(INDEX(출력범위,SMALL(IF((찾을값=찾을범위),MATCH(ROW(찾을범위),ROW(찾을범위)),""),ROWS($A$1:E6)),COLUMNS($A$1:E6)),"")</x:f>
        <x:v/>
      </x:c>
      <x:c r="G7" s="9" t="str">
        <x:f t="array" ref="G7:G7">IFERROR(INDEX(출력범위,SMALL(IF((찾을값=찾을범위),MATCH(ROW(찾을범위),ROW(찾을범위)),""),ROWS($A$1:F6)),COLUMNS($A$1:F6)),"")</x:f>
        <x:v/>
      </x:c>
      <x:c r="H7" s="10" t="str">
        <x:f t="array" ref="H7:H7">IFERROR(INDEX(출력범위,SMALL(IF((찾을값=찾을범위),MATCH(ROW(찾을범위),ROW(찾을범위)),""),ROWS($A$1:G6)),COLUMNS($A$1:G6)),"")</x:f>
        <x:v/>
      </x:c>
      <x:c r="I7" s="11" t="str">
        <x:f t="array" ref="I7:I7">IFERROR(INDEX(출력범위,SMALL(IF((찾을값=찾을범위),MATCH(ROW(찾을범위),ROW(찾을범위)),""),ROWS($A$1:H6)),COLUMNS($A$1:H6)),"")</x:f>
        <x:v/>
      </x:c>
    </x:row>
    <x:row r="8" spans="1:9" ht="20.649999999999999">
      <x:c r="A8" s="172"/>
      <x:c r="B8" s="7"/>
      <x:c r="C8" s="7" t="str">
        <x:f t="array" ref="C8:C8">IFERROR(INDEX(출력범위,SMALL(IF((찾을값=찾을범위),MATCH(ROW(찾을범위),ROW(찾을범위)),""),ROWS($A$1:B7)),COLUMNS($A$1:B7)),"")</x:f>
        <x:v/>
      </x:c>
      <x:c r="D8" s="7" t="str">
        <x:f t="array" ref="D8:D8">IFERROR(INDEX(출력범위,SMALL(IF((찾을값=찾을범위),MATCH(ROW(찾을범위),ROW(찾을범위)),""),ROWS($A$1:C7)),COLUMNS($A$1:C7)),"")</x:f>
        <x:v/>
      </x:c>
      <x:c r="E8" s="7" t="str">
        <x:f t="array" ref="E8:E8">IFERROR(INDEX(출력범위,SMALL(IF((찾을값=찾을범위),MATCH(ROW(찾을범위),ROW(찾을범위)),""),ROWS($A$1:D7)),COLUMNS($A$1:D7)),"")</x:f>
        <x:v/>
      </x:c>
      <x:c r="F8" s="7" t="str">
        <x:f t="array" ref="F8:F8">IFERROR(INDEX(출력범위,SMALL(IF((찾을값=찾을범위),MATCH(ROW(찾을범위),ROW(찾을범위)),""),ROWS($A$1:E7)),COLUMNS($A$1:E7)),"")</x:f>
        <x:v/>
      </x:c>
      <x:c r="G8" s="12" t="str">
        <x:f t="array" ref="G8:G8">IFERROR(INDEX(출력범위,SMALL(IF((찾을값=찾을범위),MATCH(ROW(찾을범위),ROW(찾을범위)),""),ROWS($A$1:F7)),COLUMNS($A$1:F7)),"")</x:f>
        <x:v/>
      </x:c>
      <x:c r="H8" s="13" t="str">
        <x:f t="array" ref="H8:H8">IFERROR(INDEX(출력범위,SMALL(IF((찾을값=찾을범위),MATCH(ROW(찾을범위),ROW(찾을범위)),""),ROWS($A$1:G7)),COLUMNS($A$1:G7)),"")</x:f>
        <x:v/>
      </x:c>
      <x:c r="I8" s="14" t="str">
        <x:f t="array" ref="I8:I8">IFERROR(INDEX(출력범위,SMALL(IF((찾을값=찾을범위),MATCH(ROW(찾을범위),ROW(찾을범위)),""),ROWS($A$1:H7)),COLUMNS($A$1:H7)),"")</x:f>
        <x:v/>
      </x:c>
    </x:row>
    <x:row r="9" spans="1:9" ht="20.649999999999999">
      <x:c r="A9" s="173"/>
      <x:c r="B9" s="8"/>
      <x:c r="C9" s="8" t="str">
        <x:f t="array" ref="C9:C9">IFERROR(INDEX(출력범위,SMALL(IF((찾을값=찾을범위),MATCH(ROW(찾을범위),ROW(찾을범위)),""),ROWS($A$1:B8)),COLUMNS($A$1:B8)),"")</x:f>
        <x:v/>
      </x:c>
      <x:c r="D9" s="8" t="str">
        <x:f t="array" ref="D9:D9">IFERROR(INDEX(출력범위,SMALL(IF((찾을값=찾을범위),MATCH(ROW(찾을범위),ROW(찾을범위)),""),ROWS($A$1:C8)),COLUMNS($A$1:C8)),"")</x:f>
        <x:v/>
      </x:c>
      <x:c r="E9" s="8" t="str">
        <x:f t="array" ref="E9:E9">IFERROR(INDEX(출력범위,SMALL(IF((찾을값=찾을범위),MATCH(ROW(찾을범위),ROW(찾을범위)),""),ROWS($A$1:D8)),COLUMNS($A$1:D8)),"")</x:f>
        <x:v/>
      </x:c>
      <x:c r="F9" s="8" t="str">
        <x:f t="array" ref="F9:F9">IFERROR(INDEX(출력범위,SMALL(IF((찾을값=찾을범위),MATCH(ROW(찾을범위),ROW(찾을범위)),""),ROWS($A$1:E8)),COLUMNS($A$1:E8)),"")</x:f>
        <x:v/>
      </x:c>
      <x:c r="G9" s="9" t="str">
        <x:f t="array" ref="G9:G9">IFERROR(INDEX(출력범위,SMALL(IF((찾을값=찾을범위),MATCH(ROW(찾을범위),ROW(찾을범위)),""),ROWS($A$1:F8)),COLUMNS($A$1:F8)),"")</x:f>
        <x:v/>
      </x:c>
      <x:c r="H9" s="10" t="str">
        <x:f t="array" ref="H9:H9">IFERROR(INDEX(출력범위,SMALL(IF((찾을값=찾을범위),MATCH(ROW(찾을범위),ROW(찾을범위)),""),ROWS($A$1:G8)),COLUMNS($A$1:G8)),"")</x:f>
        <x:v/>
      </x:c>
      <x:c r="I9" s="11" t="str">
        <x:f t="array" ref="I9:I9">IFERROR(INDEX(출력범위,SMALL(IF((찾을값=찾을범위),MATCH(ROW(찾을범위),ROW(찾을범위)),""),ROWS($A$1:H8)),COLUMNS($A$1:H8)),"")</x:f>
        <x:v/>
      </x:c>
    </x:row>
    <x:row r="10" spans="1:9" ht="20.649999999999999">
      <x:c r="A10" s="172"/>
      <x:c r="B10" s="7"/>
      <x:c r="C10" s="7" t="str">
        <x:f t="array" ref="C10:C10">IFERROR(INDEX(출력범위,SMALL(IF((찾을값=찾을범위),MATCH(ROW(찾을범위),ROW(찾을범위)),""),ROWS($A$1:B9)),COLUMNS($A$1:B9)),"")</x:f>
        <x:v/>
      </x:c>
      <x:c r="D10" s="7" t="str">
        <x:f t="array" ref="D10:D10">IFERROR(INDEX(출력범위,SMALL(IF((찾을값=찾을범위),MATCH(ROW(찾을범위),ROW(찾을범위)),""),ROWS($A$1:C9)),COLUMNS($A$1:C9)),"")</x:f>
        <x:v/>
      </x:c>
      <x:c r="E10" s="7" t="str">
        <x:f t="array" ref="E10:E10">IFERROR(INDEX(출력범위,SMALL(IF((찾을값=찾을범위),MATCH(ROW(찾을범위),ROW(찾을범위)),""),ROWS($A$1:D9)),COLUMNS($A$1:D9)),"")</x:f>
        <x:v/>
      </x:c>
      <x:c r="F10" s="7" t="str">
        <x:f t="array" ref="F10:F10">IFERROR(INDEX(출력범위,SMALL(IF((찾을값=찾을범위),MATCH(ROW(찾을범위),ROW(찾을범위)),""),ROWS($A$1:E9)),COLUMNS($A$1:E9)),"")</x:f>
        <x:v/>
      </x:c>
      <x:c r="G10" s="12" t="str">
        <x:f t="array" ref="G10:G10">IFERROR(INDEX(출력범위,SMALL(IF((찾을값=찾을범위),MATCH(ROW(찾을범위),ROW(찾을범위)),""),ROWS($A$1:F9)),COLUMNS($A$1:F9)),"")</x:f>
        <x:v/>
      </x:c>
      <x:c r="H10" s="13" t="str">
        <x:f t="array" ref="H10:H10">IFERROR(INDEX(출력범위,SMALL(IF((찾을값=찾을범위),MATCH(ROW(찾을범위),ROW(찾을범위)),""),ROWS($A$1:G9)),COLUMNS($A$1:G9)),"")</x:f>
        <x:v/>
      </x:c>
      <x:c r="I10" s="14" t="str">
        <x:f t="array" ref="I10:I10">IFERROR(INDEX(출력범위,SMALL(IF((찾을값=찾을범위),MATCH(ROW(찾을범위),ROW(찾을범위)),""),ROWS($A$1:H9)),COLUMNS($A$1:H9)),"")</x:f>
        <x:v/>
      </x:c>
    </x:row>
    <x:row r="11" spans="1:9" ht="20.649999999999999">
      <x:c r="A11" s="173"/>
      <x:c r="B11" s="8"/>
      <x:c r="C11" s="8" t="str">
        <x:f t="array" ref="C11:C11">IFERROR(INDEX(출력범위,SMALL(IF((찾을값=찾을범위),MATCH(ROW(찾을범위),ROW(찾을범위)),""),ROWS($A$1:B10)),COLUMNS($A$1:B10)),"")</x:f>
        <x:v/>
      </x:c>
      <x:c r="D11" s="8" t="str">
        <x:f t="array" ref="D11:D11">IFERROR(INDEX(출력범위,SMALL(IF((찾을값=찾을범위),MATCH(ROW(찾을범위),ROW(찾을범위)),""),ROWS($A$1:C10)),COLUMNS($A$1:C10)),"")</x:f>
        <x:v/>
      </x:c>
      <x:c r="E11" s="8" t="str">
        <x:f t="array" ref="E11:E11">IFERROR(INDEX(출력범위,SMALL(IF((찾을값=찾을범위),MATCH(ROW(찾을범위),ROW(찾을범위)),""),ROWS($A$1:D10)),COLUMNS($A$1:D10)),"")</x:f>
        <x:v/>
      </x:c>
      <x:c r="F11" s="8" t="str">
        <x:f t="array" ref="F11:F11">IFERROR(INDEX(출력범위,SMALL(IF((찾을값=찾을범위),MATCH(ROW(찾을범위),ROW(찾을범위)),""),ROWS($A$1:E10)),COLUMNS($A$1:E10)),"")</x:f>
        <x:v/>
      </x:c>
      <x:c r="G11" s="9" t="str">
        <x:f t="array" ref="G11:G11">IFERROR(INDEX(출력범위,SMALL(IF((찾을값=찾을범위),MATCH(ROW(찾을범위),ROW(찾을범위)),""),ROWS($A$1:F10)),COLUMNS($A$1:F10)),"")</x:f>
        <x:v/>
      </x:c>
      <x:c r="H11" s="10" t="str">
        <x:f t="array" ref="H11:H11">IFERROR(INDEX(출력범위,SMALL(IF((찾을값=찾을범위),MATCH(ROW(찾을범위),ROW(찾을범위)),""),ROWS($A$1:G10)),COLUMNS($A$1:G10)),"")</x:f>
        <x:v/>
      </x:c>
      <x:c r="I11" s="11" t="str">
        <x:f t="array" ref="I11:I11">IFERROR(INDEX(출력범위,SMALL(IF((찾을값=찾을범위),MATCH(ROW(찾을범위),ROW(찾을범위)),""),ROWS($A$1:H10)),COLUMNS($A$1:H10)),"")</x:f>
        <x:v/>
      </x:c>
    </x:row>
    <x:row r="12" spans="1:9" ht="20.649999999999999">
      <x:c r="A12" s="172"/>
      <x:c r="B12" s="7"/>
      <x:c r="C12" s="7" t="str">
        <x:f t="array" ref="C12:C12">IFERROR(INDEX(출력범위,SMALL(IF((찾을값=찾을범위),MATCH(ROW(찾을범위),ROW(찾을범위)),""),ROWS($A$1:B11)),COLUMNS($A$1:B11)),"")</x:f>
        <x:v/>
      </x:c>
      <x:c r="D12" s="7" t="str">
        <x:f t="array" ref="D12:D12">IFERROR(INDEX(출력범위,SMALL(IF((찾을값=찾을범위),MATCH(ROW(찾을범위),ROW(찾을범위)),""),ROWS($A$1:C11)),COLUMNS($A$1:C11)),"")</x:f>
        <x:v/>
      </x:c>
      <x:c r="E12" s="7" t="str">
        <x:f t="array" ref="E12:E12">IFERROR(INDEX(출력범위,SMALL(IF((찾을값=찾을범위),MATCH(ROW(찾을범위),ROW(찾을범위)),""),ROWS($A$1:D11)),COLUMNS($A$1:D11)),"")</x:f>
        <x:v/>
      </x:c>
      <x:c r="F12" s="7" t="str">
        <x:f t="array" ref="F12:F12">IFERROR(INDEX(출력범위,SMALL(IF((찾을값=찾을범위),MATCH(ROW(찾을범위),ROW(찾을범위)),""),ROWS($A$1:E11)),COLUMNS($A$1:E11)),"")</x:f>
        <x:v/>
      </x:c>
      <x:c r="G12" s="12" t="str">
        <x:f t="array" ref="G12:G12">IFERROR(INDEX(출력범위,SMALL(IF((찾을값=찾을범위),MATCH(ROW(찾을범위),ROW(찾을범위)),""),ROWS($A$1:F11)),COLUMNS($A$1:F11)),"")</x:f>
        <x:v/>
      </x:c>
      <x:c r="H12" s="13" t="str">
        <x:f t="array" ref="H12:H12">IFERROR(INDEX(출력범위,SMALL(IF((찾을값=찾을범위),MATCH(ROW(찾을범위),ROW(찾을범위)),""),ROWS($A$1:G11)),COLUMNS($A$1:G11)),"")</x:f>
        <x:v/>
      </x:c>
      <x:c r="I12" s="14" t="str">
        <x:f t="array" ref="I12:I12">IFERROR(INDEX(출력범위,SMALL(IF((찾을값=찾을범위),MATCH(ROW(찾을범위),ROW(찾을범위)),""),ROWS($A$1:H11)),COLUMNS($A$1:H11)),"")</x:f>
        <x:v/>
      </x:c>
    </x:row>
    <x:row r="13" spans="1:9" ht="20.649999999999999">
      <x:c r="A13" s="173"/>
      <x:c r="B13" s="8"/>
      <x:c r="C13" s="8" t="str">
        <x:f t="array" ref="C13:C13">IFERROR(INDEX(출력범위,SMALL(IF((찾을값=찾을범위),MATCH(ROW(찾을범위),ROW(찾을범위)),""),ROWS($A$1:B12)),COLUMNS($A$1:B12)),"")</x:f>
        <x:v/>
      </x:c>
      <x:c r="D13" s="8" t="str">
        <x:f t="array" ref="D13:D13">IFERROR(INDEX(출력범위,SMALL(IF((찾을값=찾을범위),MATCH(ROW(찾을범위),ROW(찾을범위)),""),ROWS($A$1:C12)),COLUMNS($A$1:C12)),"")</x:f>
        <x:v/>
      </x:c>
      <x:c r="E13" s="8" t="str">
        <x:f t="array" ref="E13:E13">IFERROR(INDEX(출력범위,SMALL(IF((찾을값=찾을범위),MATCH(ROW(찾을범위),ROW(찾을범위)),""),ROWS($A$1:D12)),COLUMNS($A$1:D12)),"")</x:f>
        <x:v/>
      </x:c>
      <x:c r="F13" s="8" t="str">
        <x:f t="array" ref="F13:F13">IFERROR(INDEX(출력범위,SMALL(IF((찾을값=찾을범위),MATCH(ROW(찾을범위),ROW(찾을범위)),""),ROWS($A$1:E12)),COLUMNS($A$1:E12)),"")</x:f>
        <x:v/>
      </x:c>
      <x:c r="G13" s="9" t="str">
        <x:f t="array" ref="G13:G13">IFERROR(INDEX(출력범위,SMALL(IF((찾을값=찾을범위),MATCH(ROW(찾을범위),ROW(찾을범위)),""),ROWS($A$1:F12)),COLUMNS($A$1:F12)),"")</x:f>
        <x:v/>
      </x:c>
      <x:c r="H13" s="10" t="str">
        <x:f t="array" ref="H13:H13">IFERROR(INDEX(출력범위,SMALL(IF((찾을값=찾을범위),MATCH(ROW(찾을범위),ROW(찾을범위)),""),ROWS($A$1:G12)),COLUMNS($A$1:G12)),"")</x:f>
        <x:v/>
      </x:c>
      <x:c r="I13" s="11" t="str">
        <x:f t="array" ref="I13:I13">IFERROR(INDEX(출력범위,SMALL(IF((찾을값=찾을범위),MATCH(ROW(찾을범위),ROW(찾을범위)),""),ROWS($A$1:H12)),COLUMNS($A$1:H12)),"")</x:f>
        <x:v/>
      </x:c>
    </x:row>
    <x:row r="14" spans="1:9" ht="20.649999999999999">
      <x:c r="A14" s="172"/>
      <x:c r="B14" s="7"/>
      <x:c r="C14" s="7" t="str">
        <x:f t="array" ref="C14:C14">IFERROR(INDEX(출력범위,SMALL(IF((찾을값=찾을범위),MATCH(ROW(찾을범위),ROW(찾을범위)),""),ROWS($A$1:B13)),COLUMNS($A$1:B13)),"")</x:f>
        <x:v/>
      </x:c>
      <x:c r="D14" s="7" t="str">
        <x:f t="array" ref="D14:D14">IFERROR(INDEX(출력범위,SMALL(IF((찾을값=찾을범위),MATCH(ROW(찾을범위),ROW(찾을범위)),""),ROWS($A$1:C13)),COLUMNS($A$1:C13)),"")</x:f>
        <x:v/>
      </x:c>
      <x:c r="E14" s="7" t="str">
        <x:f t="array" ref="E14:E14">IFERROR(INDEX(출력범위,SMALL(IF((찾을값=찾을범위),MATCH(ROW(찾을범위),ROW(찾을범위)),""),ROWS($A$1:D13)),COLUMNS($A$1:D13)),"")</x:f>
        <x:v/>
      </x:c>
      <x:c r="F14" s="7" t="str">
        <x:f t="array" ref="F14:F14">IFERROR(INDEX(출력범위,SMALL(IF((찾을값=찾을범위),MATCH(ROW(찾을범위),ROW(찾을범위)),""),ROWS($A$1:E13)),COLUMNS($A$1:E13)),"")</x:f>
        <x:v/>
      </x:c>
      <x:c r="G14" s="12" t="str">
        <x:f t="array" ref="G14:G14">IFERROR(INDEX(출력범위,SMALL(IF((찾을값=찾을범위),MATCH(ROW(찾을범위),ROW(찾을범위)),""),ROWS($A$1:F13)),COLUMNS($A$1:F13)),"")</x:f>
        <x:v/>
      </x:c>
      <x:c r="H14" s="13" t="str">
        <x:f t="array" ref="H14:H14">IFERROR(INDEX(출력범위,SMALL(IF((찾을값=찾을범위),MATCH(ROW(찾을범위),ROW(찾을범위)),""),ROWS($A$1:G13)),COLUMNS($A$1:G13)),"")</x:f>
        <x:v/>
      </x:c>
      <x:c r="I14" s="14" t="str">
        <x:f t="array" ref="I14:I14">IFERROR(INDEX(출력범위,SMALL(IF((찾을값=찾을범위),MATCH(ROW(찾을범위),ROW(찾을범위)),""),ROWS($A$1:H13)),COLUMNS($A$1:H13)),"")</x:f>
        <x:v/>
      </x:c>
    </x:row>
    <x:row r="15" spans="1:9" ht="20.649999999999999">
      <x:c r="A15" s="173"/>
      <x:c r="B15" s="8"/>
      <x:c r="C15" s="8" t="str">
        <x:f t="array" ref="C15:C15">IFERROR(INDEX(출력범위,SMALL(IF((찾을값=찾을범위),MATCH(ROW(찾을범위),ROW(찾을범위)),""),ROWS($A$1:B14)),COLUMNS($A$1:B14)),"")</x:f>
        <x:v/>
      </x:c>
      <x:c r="D15" s="8" t="str">
        <x:f t="array" ref="D15:D15">IFERROR(INDEX(출력범위,SMALL(IF((찾을값=찾을범위),MATCH(ROW(찾을범위),ROW(찾을범위)),""),ROWS($A$1:C14)),COLUMNS($A$1:C14)),"")</x:f>
        <x:v/>
      </x:c>
      <x:c r="E15" s="8" t="str">
        <x:f t="array" ref="E15:E15">IFERROR(INDEX(출력범위,SMALL(IF((찾을값=찾을범위),MATCH(ROW(찾을범위),ROW(찾을범위)),""),ROWS($A$1:D14)),COLUMNS($A$1:D14)),"")</x:f>
        <x:v/>
      </x:c>
      <x:c r="F15" s="8" t="str">
        <x:f t="array" ref="F15:F15">IFERROR(INDEX(출력범위,SMALL(IF((찾을값=찾을범위),MATCH(ROW(찾을범위),ROW(찾을범위)),""),ROWS($A$1:E14)),COLUMNS($A$1:E14)),"")</x:f>
        <x:v/>
      </x:c>
      <x:c r="G15" s="9" t="str">
        <x:f t="array" ref="G15:G15">IFERROR(INDEX(출력범위,SMALL(IF((찾을값=찾을범위),MATCH(ROW(찾을범위),ROW(찾을범위)),""),ROWS($A$1:F14)),COLUMNS($A$1:F14)),"")</x:f>
        <x:v/>
      </x:c>
      <x:c r="H15" s="10" t="str">
        <x:f t="array" ref="H15:H15">IFERROR(INDEX(출력범위,SMALL(IF((찾을값=찾을범위),MATCH(ROW(찾을범위),ROW(찾을범위)),""),ROWS($A$1:G14)),COLUMNS($A$1:G14)),"")</x:f>
        <x:v/>
      </x:c>
      <x:c r="I15" s="11" t="str">
        <x:f t="array" ref="I15:I15">IFERROR(INDEX(출력범위,SMALL(IF((찾을값=찾을범위),MATCH(ROW(찾을범위),ROW(찾을범위)),""),ROWS($A$1:H14)),COLUMNS($A$1:H14)),"")</x:f>
        <x:v/>
      </x:c>
    </x:row>
    <x:row r="16" spans="1:9" ht="20.649999999999999">
      <x:c r="A16" s="172"/>
      <x:c r="B16" s="7" t="str">
        <x:f t="array" ref="B16:B16">IFERROR(INDEX(출력범위,SMALL(IF((찾을값=찾을범위),MATCH(ROW(찾을범위),ROW(찾을범위)),""),ROWS($A$1:A15)),COLUMNS($A$1:A15)),"")</x:f>
        <x:v/>
      </x:c>
      <x:c r="C16" s="7" t="str">
        <x:f t="array" ref="C16:C16">IFERROR(INDEX(출력범위,SMALL(IF((찾을값=찾을범위),MATCH(ROW(찾을범위),ROW(찾을범위)),""),ROWS($A$1:B15)),COLUMNS($A$1:B15)),"")</x:f>
        <x:v/>
      </x:c>
      <x:c r="D16" s="7" t="str">
        <x:f t="array" ref="D16:D16">IFERROR(INDEX(출력범위,SMALL(IF((찾을값=찾을범위),MATCH(ROW(찾을범위),ROW(찾을범위)),""),ROWS($A$1:C15)),COLUMNS($A$1:C15)),"")</x:f>
        <x:v/>
      </x:c>
      <x:c r="E16" s="7" t="str">
        <x:f t="array" ref="E16:E16">IFERROR(INDEX(출력범위,SMALL(IF((찾을값=찾을범위),MATCH(ROW(찾을범위),ROW(찾을범위)),""),ROWS($A$1:D15)),COLUMNS($A$1:D15)),"")</x:f>
        <x:v/>
      </x:c>
      <x:c r="F16" s="7" t="str">
        <x:f t="array" ref="F16:F16">IFERROR(INDEX(출력범위,SMALL(IF((찾을값=찾을범위),MATCH(ROW(찾을범위),ROW(찾을범위)),""),ROWS($A$1:E15)),COLUMNS($A$1:E15)),"")</x:f>
        <x:v/>
      </x:c>
      <x:c r="G16" s="12" t="str">
        <x:f t="array" ref="G16:G16">IFERROR(INDEX(출력범위,SMALL(IF((찾을값=찾을범위),MATCH(ROW(찾을범위),ROW(찾을범위)),""),ROWS($A$1:F15)),COLUMNS($A$1:F15)),"")</x:f>
        <x:v/>
      </x:c>
      <x:c r="H16" s="13" t="str">
        <x:f t="array" ref="H16:H16">IFERROR(INDEX(출력범위,SMALL(IF((찾을값=찾을범위),MATCH(ROW(찾을범위),ROW(찾을범위)),""),ROWS($A$1:G15)),COLUMNS($A$1:G15)),"")</x:f>
        <x:v/>
      </x:c>
      <x:c r="I16" s="14" t="str">
        <x:f t="array" ref="I16:I16">IFERROR(INDEX(출력범위,SMALL(IF((찾을값=찾을범위),MATCH(ROW(찾을범위),ROW(찾을범위)),""),ROWS($A$1:H15)),COLUMNS($A$1:H15)),"")</x:f>
        <x:v/>
      </x:c>
    </x:row>
    <x:row r="17" spans="1:9" ht="20.649999999999999">
      <x:c r="A17" s="173"/>
      <x:c r="B17" s="8" t="str">
        <x:f t="array" ref="B17:B17">IFERROR(INDEX(출력범위,SMALL(IF((찾을값=찾을범위),MATCH(ROW(찾을범위),ROW(찾을범위)),""),ROWS($A$1:A16)),COLUMNS($A$1:A16)),"")</x:f>
        <x:v/>
      </x:c>
      <x:c r="C17" s="8" t="str">
        <x:f t="array" ref="C17:C17">IFERROR(INDEX(출력범위,SMALL(IF((찾을값=찾을범위),MATCH(ROW(찾을범위),ROW(찾을범위)),""),ROWS($A$1:B16)),COLUMNS($A$1:B16)),"")</x:f>
        <x:v/>
      </x:c>
      <x:c r="D17" s="8" t="str">
        <x:f t="array" ref="D17:D17">IFERROR(INDEX(출력범위,SMALL(IF((찾을값=찾을범위),MATCH(ROW(찾을범위),ROW(찾을범위)),""),ROWS($A$1:C16)),COLUMNS($A$1:C16)),"")</x:f>
        <x:v/>
      </x:c>
      <x:c r="E17" s="8" t="str">
        <x:f t="array" ref="E17:E17">IFERROR(INDEX(출력범위,SMALL(IF((찾을값=찾을범위),MATCH(ROW(찾을범위),ROW(찾을범위)),""),ROWS($A$1:D16)),COLUMNS($A$1:D16)),"")</x:f>
        <x:v/>
      </x:c>
      <x:c r="F17" s="8" t="str">
        <x:f t="array" ref="F17:F17">IFERROR(INDEX(출력범위,SMALL(IF((찾을값=찾을범위),MATCH(ROW(찾을범위),ROW(찾을범위)),""),ROWS($A$1:E16)),COLUMNS($A$1:E16)),"")</x:f>
        <x:v/>
      </x:c>
      <x:c r="G17" s="9" t="str">
        <x:f t="array" ref="G17:G17">IFERROR(INDEX(출력범위,SMALL(IF((찾을값=찾을범위),MATCH(ROW(찾을범위),ROW(찾을범위)),""),ROWS($A$1:F16)),COLUMNS($A$1:F16)),"")</x:f>
        <x:v/>
      </x:c>
      <x:c r="H17" s="10" t="str">
        <x:f t="array" ref="H17:H17">IFERROR(INDEX(출력범위,SMALL(IF((찾을값=찾을범위),MATCH(ROW(찾을범위),ROW(찾을범위)),""),ROWS($A$1:G16)),COLUMNS($A$1:G16)),"")</x:f>
        <x:v/>
      </x:c>
      <x:c r="I17" s="11" t="str">
        <x:f t="array" ref="I17:I17">IFERROR(INDEX(출력범위,SMALL(IF((찾을값=찾을범위),MATCH(ROW(찾을범위),ROW(찾을범위)),""),ROWS($A$1:H16)),COLUMNS($A$1:H16)),"")</x:f>
        <x:v/>
      </x:c>
    </x:row>
    <x:row r="18" spans="1:9" ht="20.649999999999999">
      <x:c r="A18" s="172"/>
      <x:c r="B18" s="7" t="str">
        <x:f t="array" ref="B18:B18">IFERROR(INDEX(출력범위,SMALL(IF((찾을값=찾을범위),MATCH(ROW(찾을범위),ROW(찾을범위)),""),ROWS($A$1:A17)),COLUMNS($A$1:A17)),"")</x:f>
        <x:v/>
      </x:c>
      <x:c r="C18" s="7" t="str">
        <x:f t="array" ref="C18:C18">IFERROR(INDEX(출력범위,SMALL(IF((찾을값=찾을범위),MATCH(ROW(찾을범위),ROW(찾을범위)),""),ROWS($A$1:B17)),COLUMNS($A$1:B17)),"")</x:f>
        <x:v/>
      </x:c>
      <x:c r="D18" s="7" t="str">
        <x:f t="array" ref="D18:D18">IFERROR(INDEX(출력범위,SMALL(IF((찾을값=찾을범위),MATCH(ROW(찾을범위),ROW(찾을범위)),""),ROWS($A$1:C17)),COLUMNS($A$1:C17)),"")</x:f>
        <x:v/>
      </x:c>
      <x:c r="E18" s="7" t="str">
        <x:f t="array" ref="E18:E18">IFERROR(INDEX(출력범위,SMALL(IF((찾을값=찾을범위),MATCH(ROW(찾을범위),ROW(찾을범위)),""),ROWS($A$1:D17)),COLUMNS($A$1:D17)),"")</x:f>
        <x:v/>
      </x:c>
      <x:c r="F18" s="7" t="str">
        <x:f t="array" ref="F18:F18">IFERROR(INDEX(출력범위,SMALL(IF((찾을값=찾을범위),MATCH(ROW(찾을범위),ROW(찾을범위)),""),ROWS($A$1:E17)),COLUMNS($A$1:E17)),"")</x:f>
        <x:v/>
      </x:c>
      <x:c r="G18" s="12" t="str">
        <x:f t="array" ref="G18:G18">IFERROR(INDEX(출력범위,SMALL(IF((찾을값=찾을범위),MATCH(ROW(찾을범위),ROW(찾을범위)),""),ROWS($A$1:F17)),COLUMNS($A$1:F17)),"")</x:f>
        <x:v/>
      </x:c>
      <x:c r="H18" s="13" t="str">
        <x:f t="array" ref="H18:H18">IFERROR(INDEX(출력범위,SMALL(IF((찾을값=찾을범위),MATCH(ROW(찾을범위),ROW(찾을범위)),""),ROWS($A$1:G17)),COLUMNS($A$1:G17)),"")</x:f>
        <x:v/>
      </x:c>
      <x:c r="I18" s="14" t="str">
        <x:f t="array" ref="I18:I18">IFERROR(INDEX(출력범위,SMALL(IF((찾을값=찾을범위),MATCH(ROW(찾을범위),ROW(찾을범위)),""),ROWS($A$1:H17)),COLUMNS($A$1:H17)),"")</x:f>
        <x:v/>
      </x:c>
    </x:row>
    <x:row r="19" spans="1:9" ht="20.649999999999999">
      <x:c r="A19" s="173"/>
      <x:c r="B19" s="8" t="str">
        <x:f t="array" ref="B19:B19">IFERROR(INDEX(출력범위,SMALL(IF((찾을값=찾을범위),MATCH(ROW(찾을범위),ROW(찾을범위)),""),ROWS($A$1:A18)),COLUMNS($A$1:A18)),"")</x:f>
        <x:v/>
      </x:c>
      <x:c r="C19" s="8" t="str">
        <x:f t="array" ref="C19:C19">IFERROR(INDEX(출력범위,SMALL(IF((찾을값=찾을범위),MATCH(ROW(찾을범위),ROW(찾을범위)),""),ROWS($A$1:B18)),COLUMNS($A$1:B18)),"")</x:f>
        <x:v/>
      </x:c>
      <x:c r="D19" s="8" t="str">
        <x:f t="array" ref="D19:D19">IFERROR(INDEX(출력범위,SMALL(IF((찾을값=찾을범위),MATCH(ROW(찾을범위),ROW(찾을범위)),""),ROWS($A$1:C18)),COLUMNS($A$1:C18)),"")</x:f>
        <x:v/>
      </x:c>
      <x:c r="E19" s="8" t="str">
        <x:f t="array" ref="E19:E19">IFERROR(INDEX(출력범위,SMALL(IF((찾을값=찾을범위),MATCH(ROW(찾을범위),ROW(찾을범위)),""),ROWS($A$1:D18)),COLUMNS($A$1:D18)),"")</x:f>
        <x:v/>
      </x:c>
      <x:c r="F19" s="8" t="str">
        <x:f t="array" ref="F19:F19">IFERROR(INDEX(출력범위,SMALL(IF((찾을값=찾을범위),MATCH(ROW(찾을범위),ROW(찾을범위)),""),ROWS($A$1:E18)),COLUMNS($A$1:E18)),"")</x:f>
        <x:v/>
      </x:c>
      <x:c r="G19" s="9" t="str">
        <x:f t="array" ref="G19:G19">IFERROR(INDEX(출력범위,SMALL(IF((찾을값=찾을범위),MATCH(ROW(찾을범위),ROW(찾을범위)),""),ROWS($A$1:F18)),COLUMNS($A$1:F18)),"")</x:f>
        <x:v/>
      </x:c>
      <x:c r="H19" s="10" t="str">
        <x:f t="array" ref="H19:H19">IFERROR(INDEX(출력범위,SMALL(IF((찾을값=찾을범위),MATCH(ROW(찾을범위),ROW(찾을범위)),""),ROWS($A$1:G18)),COLUMNS($A$1:G18)),"")</x:f>
        <x:v/>
      </x:c>
      <x:c r="I19" s="11" t="str">
        <x:f t="array" ref="I19:I19">IFERROR(INDEX(출력범위,SMALL(IF((찾을값=찾을범위),MATCH(ROW(찾을범위),ROW(찾을범위)),""),ROWS($A$1:H18)),COLUMNS($A$1:H18)),"")</x:f>
        <x:v/>
      </x:c>
    </x:row>
    <x:row r="20" spans="1:9" ht="20.649999999999999">
      <x:c r="A20" s="172"/>
      <x:c r="B20" s="7" t="str">
        <x:f t="array" ref="B20:B20">IFERROR(INDEX(출력범위,SMALL(IF((찾을값=찾을범위),MATCH(ROW(찾을범위),ROW(찾을범위)),""),ROWS($A$1:A19)),COLUMNS($A$1:A19)),"")</x:f>
        <x:v/>
      </x:c>
      <x:c r="C20" s="7" t="str">
        <x:f t="array" ref="C20:C20">IFERROR(INDEX(출력범위,SMALL(IF((찾을값=찾을범위),MATCH(ROW(찾을범위),ROW(찾을범위)),""),ROWS($A$1:B19)),COLUMNS($A$1:B19)),"")</x:f>
        <x:v/>
      </x:c>
      <x:c r="D20" s="7" t="str">
        <x:f t="array" ref="D20:D20">IFERROR(INDEX(출력범위,SMALL(IF((찾을값=찾을범위),MATCH(ROW(찾을범위),ROW(찾을범위)),""),ROWS($A$1:C19)),COLUMNS($A$1:C19)),"")</x:f>
        <x:v/>
      </x:c>
      <x:c r="E20" s="7" t="str">
        <x:f t="array" ref="E20:E20">IFERROR(INDEX(출력범위,SMALL(IF((찾을값=찾을범위),MATCH(ROW(찾을범위),ROW(찾을범위)),""),ROWS($A$1:D19)),COLUMNS($A$1:D19)),"")</x:f>
        <x:v/>
      </x:c>
      <x:c r="F20" s="7" t="str">
        <x:f t="array" ref="F20:F20">IFERROR(INDEX(출력범위,SMALL(IF((찾을값=찾을범위),MATCH(ROW(찾을범위),ROW(찾을범위)),""),ROWS($A$1:E19)),COLUMNS($A$1:E19)),"")</x:f>
        <x:v/>
      </x:c>
      <x:c r="G20" s="12" t="str">
        <x:f t="array" ref="G20:G20">IFERROR(INDEX(출력범위,SMALL(IF((찾을값=찾을범위),MATCH(ROW(찾을범위),ROW(찾을범위)),""),ROWS($A$1:F19)),COLUMNS($A$1:F19)),"")</x:f>
        <x:v/>
      </x:c>
      <x:c r="H20" s="13" t="str">
        <x:f t="array" ref="H20:H20">IFERROR(INDEX(출력범위,SMALL(IF((찾을값=찾을범위),MATCH(ROW(찾을범위),ROW(찾을범위)),""),ROWS($A$1:G19)),COLUMNS($A$1:G19)),"")</x:f>
        <x:v/>
      </x:c>
      <x:c r="I20" s="14" t="str">
        <x:f t="array" ref="I20:I20">IFERROR(INDEX(출력범위,SMALL(IF((찾을값=찾을범위),MATCH(ROW(찾을범위),ROW(찾을범위)),""),ROWS($A$1:H19)),COLUMNS($A$1:H19)),"")</x:f>
        <x:v/>
      </x:c>
    </x:row>
    <x:row r="21" spans="1:9" ht="20.649999999999999">
      <x:c r="A21" s="173"/>
      <x:c r="B21" s="8" t="str">
        <x:f t="array" ref="B21:B21">IFERROR(INDEX(출력범위,SMALL(IF((찾을값=찾을범위),MATCH(ROW(찾을범위),ROW(찾을범위)),""),ROWS($A$1:A20)),COLUMNS($A$1:A20)),"")</x:f>
        <x:v/>
      </x:c>
      <x:c r="C21" s="8" t="str">
        <x:f t="array" ref="C21:C21">IFERROR(INDEX(출력범위,SMALL(IF((찾을값=찾을범위),MATCH(ROW(찾을범위),ROW(찾을범위)),""),ROWS($A$1:B20)),COLUMNS($A$1:B20)),"")</x:f>
        <x:v/>
      </x:c>
      <x:c r="D21" s="8" t="str">
        <x:f t="array" ref="D21:D21">IFERROR(INDEX(출력범위,SMALL(IF((찾을값=찾을범위),MATCH(ROW(찾을범위),ROW(찾을범위)),""),ROWS($A$1:C20)),COLUMNS($A$1:C20)),"")</x:f>
        <x:v/>
      </x:c>
      <x:c r="E21" s="8" t="str">
        <x:f t="array" ref="E21:E21">IFERROR(INDEX(출력범위,SMALL(IF((찾을값=찾을범위),MATCH(ROW(찾을범위),ROW(찾을범위)),""),ROWS($A$1:D20)),COLUMNS($A$1:D20)),"")</x:f>
        <x:v/>
      </x:c>
      <x:c r="F21" s="8" t="str">
        <x:f t="array" ref="F21:F21">IFERROR(INDEX(출력범위,SMALL(IF((찾을값=찾을범위),MATCH(ROW(찾을범위),ROW(찾을범위)),""),ROWS($A$1:E20)),COLUMNS($A$1:E20)),"")</x:f>
        <x:v/>
      </x:c>
      <x:c r="G21" s="9" t="str">
        <x:f t="array" ref="G21:G21">IFERROR(INDEX(출력범위,SMALL(IF((찾을값=찾을범위),MATCH(ROW(찾을범위),ROW(찾을범위)),""),ROWS($A$1:F20)),COLUMNS($A$1:F20)),"")</x:f>
        <x:v/>
      </x:c>
      <x:c r="H21" s="10" t="str">
        <x:f t="array" ref="H21:H21">IFERROR(INDEX(출력범위,SMALL(IF((찾을값=찾을범위),MATCH(ROW(찾을범위),ROW(찾을범위)),""),ROWS($A$1:G20)),COLUMNS($A$1:G20)),"")</x:f>
        <x:v/>
      </x:c>
      <x:c r="I21" s="11" t="str">
        <x:f t="array" ref="I21:I21">IFERROR(INDEX(출력범위,SMALL(IF((찾을값=찾을범위),MATCH(ROW(찾을범위),ROW(찾을범위)),""),ROWS($A$1:H20)),COLUMNS($A$1:H20)),"")</x:f>
        <x:v/>
      </x:c>
    </x:row>
    <x:row r="22" spans="1:9" ht="20.649999999999999">
      <x:c r="A22" s="172"/>
      <x:c r="B22" s="7" t="str">
        <x:f t="array" ref="B22:B22">IFERROR(INDEX(출력범위,SMALL(IF((찾을값=찾을범위),MATCH(ROW(찾을범위),ROW(찾을범위)),""),ROWS($A$1:A21)),COLUMNS($A$1:A21)),"")</x:f>
        <x:v/>
      </x:c>
      <x:c r="C22" s="7" t="str">
        <x:f t="array" ref="C22:C22">IFERROR(INDEX(출력범위,SMALL(IF((찾을값=찾을범위),MATCH(ROW(찾을범위),ROW(찾을범위)),""),ROWS($A$1:B21)),COLUMNS($A$1:B21)),"")</x:f>
        <x:v/>
      </x:c>
      <x:c r="D22" s="7" t="str">
        <x:f t="array" ref="D22:D22">IFERROR(INDEX(출력범위,SMALL(IF((찾을값=찾을범위),MATCH(ROW(찾을범위),ROW(찾을범위)),""),ROWS($A$1:C21)),COLUMNS($A$1:C21)),"")</x:f>
        <x:v/>
      </x:c>
      <x:c r="E22" s="7" t="str">
        <x:f t="array" ref="E22:E22">IFERROR(INDEX(출력범위,SMALL(IF((찾을값=찾을범위),MATCH(ROW(찾을범위),ROW(찾을범위)),""),ROWS($A$1:D21)),COLUMNS($A$1:D21)),"")</x:f>
        <x:v/>
      </x:c>
      <x:c r="F22" s="7" t="str">
        <x:f t="array" ref="F22:F22">IFERROR(INDEX(출력범위,SMALL(IF((찾을값=찾을범위),MATCH(ROW(찾을범위),ROW(찾을범위)),""),ROWS($A$1:E21)),COLUMNS($A$1:E21)),"")</x:f>
        <x:v/>
      </x:c>
      <x:c r="G22" s="12" t="str">
        <x:f t="array" ref="G22:G22">IFERROR(INDEX(출력범위,SMALL(IF((찾을값=찾을범위),MATCH(ROW(찾을범위),ROW(찾을범위)),""),ROWS($A$1:F21)),COLUMNS($A$1:F21)),"")</x:f>
        <x:v/>
      </x:c>
      <x:c r="H22" s="13" t="str">
        <x:f t="array" ref="H22:H22">IFERROR(INDEX(출력범위,SMALL(IF((찾을값=찾을범위),MATCH(ROW(찾을범위),ROW(찾을범위)),""),ROWS($A$1:G21)),COLUMNS($A$1:G21)),"")</x:f>
        <x:v/>
      </x:c>
      <x:c r="I22" s="14" t="str">
        <x:f t="array" ref="I22:I22">IFERROR(INDEX(출력범위,SMALL(IF((찾을값=찾을범위),MATCH(ROW(찾을범위),ROW(찾을범위)),""),ROWS($A$1:H21)),COLUMNS($A$1:H21)),"")</x:f>
        <x:v/>
      </x:c>
    </x:row>
    <x:row r="23" spans="1:9" ht="20.649999999999999">
      <x:c r="A23" s="173"/>
      <x:c r="B23" s="8" t="str">
        <x:f t="array" ref="B23:B23">IFERROR(INDEX(출력범위,SMALL(IF((찾을값=찾을범위),MATCH(ROW(찾을범위),ROW(찾을범위)),""),ROWS($A$1:A22)),COLUMNS($A$1:A22)),"")</x:f>
        <x:v/>
      </x:c>
      <x:c r="C23" s="8" t="str">
        <x:f t="array" ref="C23:C23">IFERROR(INDEX(출력범위,SMALL(IF((찾을값=찾을범위),MATCH(ROW(찾을범위),ROW(찾을범위)),""),ROWS($A$1:B22)),COLUMNS($A$1:B22)),"")</x:f>
        <x:v/>
      </x:c>
      <x:c r="D23" s="8" t="str">
        <x:f t="array" ref="D23:D23">IFERROR(INDEX(출력범위,SMALL(IF((찾을값=찾을범위),MATCH(ROW(찾을범위),ROW(찾을범위)),""),ROWS($A$1:C22)),COLUMNS($A$1:C22)),"")</x:f>
        <x:v/>
      </x:c>
      <x:c r="E23" s="8" t="str">
        <x:f t="array" ref="E23:E23">IFERROR(INDEX(출력범위,SMALL(IF((찾을값=찾을범위),MATCH(ROW(찾을범위),ROW(찾을범위)),""),ROWS($A$1:D22)),COLUMNS($A$1:D22)),"")</x:f>
        <x:v/>
      </x:c>
      <x:c r="F23" s="8" t="str">
        <x:f t="array" ref="F23:F23">IFERROR(INDEX(출력범위,SMALL(IF((찾을값=찾을범위),MATCH(ROW(찾을범위),ROW(찾을범위)),""),ROWS($A$1:E22)),COLUMNS($A$1:E22)),"")</x:f>
        <x:v/>
      </x:c>
      <x:c r="G23" s="9" t="str">
        <x:f t="array" ref="G23:G23">IFERROR(INDEX(출력범위,SMALL(IF((찾을값=찾을범위),MATCH(ROW(찾을범위),ROW(찾을범위)),""),ROWS($A$1:F22)),COLUMNS($A$1:F22)),"")</x:f>
        <x:v/>
      </x:c>
      <x:c r="H23" s="10" t="str">
        <x:f t="array" ref="H23:H23">IFERROR(INDEX(출력범위,SMALL(IF((찾을값=찾을범위),MATCH(ROW(찾을범위),ROW(찾을범위)),""),ROWS($A$1:G22)),COLUMNS($A$1:G22)),"")</x:f>
        <x:v/>
      </x:c>
      <x:c r="I23" s="11" t="str">
        <x:f t="array" ref="I23:I23">IFERROR(INDEX(출력범위,SMALL(IF((찾을값=찾을범위),MATCH(ROW(찾을범위),ROW(찾을범위)),""),ROWS($A$1:H22)),COLUMNS($A$1:H22)),"")</x:f>
        <x:v/>
      </x:c>
    </x:row>
    <x:row r="24" spans="1:9" ht="20.649999999999999">
      <x:c r="A24" s="172"/>
      <x:c r="B24" s="7" t="str">
        <x:f t="array" ref="B24:B24">IFERROR(INDEX(출력범위,SMALL(IF((찾을값=찾을범위),MATCH(ROW(찾을범위),ROW(찾을범위)),""),ROWS($A$1:A23)),COLUMNS($A$1:A23)),"")</x:f>
        <x:v/>
      </x:c>
      <x:c r="C24" s="7" t="str">
        <x:f t="array" ref="C24:C24">IFERROR(INDEX(출력범위,SMALL(IF((찾을값=찾을범위),MATCH(ROW(찾을범위),ROW(찾을범위)),""),ROWS($A$1:B23)),COLUMNS($A$1:B23)),"")</x:f>
        <x:v/>
      </x:c>
      <x:c r="D24" s="7" t="str">
        <x:f t="array" ref="D24:D24">IFERROR(INDEX(출력범위,SMALL(IF((찾을값=찾을범위),MATCH(ROW(찾을범위),ROW(찾을범위)),""),ROWS($A$1:C23)),COLUMNS($A$1:C23)),"")</x:f>
        <x:v/>
      </x:c>
      <x:c r="E24" s="7" t="str">
        <x:f t="array" ref="E24:E24">IFERROR(INDEX(출력범위,SMALL(IF((찾을값=찾을범위),MATCH(ROW(찾을범위),ROW(찾을범위)),""),ROWS($A$1:D23)),COLUMNS($A$1:D23)),"")</x:f>
        <x:v/>
      </x:c>
      <x:c r="F24" s="7" t="str">
        <x:f t="array" ref="F24:F24">IFERROR(INDEX(출력범위,SMALL(IF((찾을값=찾을범위),MATCH(ROW(찾을범위),ROW(찾을범위)),""),ROWS($A$1:E23)),COLUMNS($A$1:E23)),"")</x:f>
        <x:v/>
      </x:c>
      <x:c r="G24" s="12" t="str">
        <x:f t="array" ref="G24:G24">IFERROR(INDEX(출력범위,SMALL(IF((찾을값=찾을범위),MATCH(ROW(찾을범위),ROW(찾을범위)),""),ROWS($A$1:F23)),COLUMNS($A$1:F23)),"")</x:f>
        <x:v/>
      </x:c>
      <x:c r="H24" s="13" t="str">
        <x:f t="array" ref="H24:H24">IFERROR(INDEX(출력범위,SMALL(IF((찾을값=찾을범위),MATCH(ROW(찾을범위),ROW(찾을범위)),""),ROWS($A$1:G23)),COLUMNS($A$1:G23)),"")</x:f>
        <x:v/>
      </x:c>
      <x:c r="I24" s="14" t="str">
        <x:f t="array" ref="I24:I24">IFERROR(INDEX(출력범위,SMALL(IF((찾을값=찾을범위),MATCH(ROW(찾을범위),ROW(찾을범위)),""),ROWS($A$1:H23)),COLUMNS($A$1:H23)),"")</x:f>
        <x:v/>
      </x:c>
    </x:row>
    <x:row r="25" spans="1:9" ht="20.649999999999999">
      <x:c r="A25" s="173"/>
      <x:c r="B25" s="8" t="str">
        <x:f t="array" ref="B25:B25">IFERROR(INDEX(출력범위,SMALL(IF((찾을값=찾을범위),MATCH(ROW(찾을범위),ROW(찾을범위)),""),ROWS($A$1:A24)),COLUMNS($A$1:A24)),"")</x:f>
        <x:v/>
      </x:c>
      <x:c r="C25" s="8" t="str">
        <x:f t="array" ref="C25:C25">IFERROR(INDEX(출력범위,SMALL(IF((찾을값=찾을범위),MATCH(ROW(찾을범위),ROW(찾을범위)),""),ROWS($A$1:B24)),COLUMNS($A$1:B24)),"")</x:f>
        <x:v/>
      </x:c>
      <x:c r="D25" s="8" t="str">
        <x:f t="array" ref="D25:D25">IFERROR(INDEX(출력범위,SMALL(IF((찾을값=찾을범위),MATCH(ROW(찾을범위),ROW(찾을범위)),""),ROWS($A$1:C24)),COLUMNS($A$1:C24)),"")</x:f>
        <x:v/>
      </x:c>
      <x:c r="E25" s="8" t="str">
        <x:f t="array" ref="E25:E25">IFERROR(INDEX(출력범위,SMALL(IF((찾을값=찾을범위),MATCH(ROW(찾을범위),ROW(찾을범위)),""),ROWS($A$1:D24)),COLUMNS($A$1:D24)),"")</x:f>
        <x:v/>
      </x:c>
      <x:c r="F25" s="8" t="str">
        <x:f t="array" ref="F25:F25">IFERROR(INDEX(출력범위,SMALL(IF((찾을값=찾을범위),MATCH(ROW(찾을범위),ROW(찾을범위)),""),ROWS($A$1:E24)),COLUMNS($A$1:E24)),"")</x:f>
        <x:v/>
      </x:c>
      <x:c r="G25" s="9" t="str">
        <x:f t="array" ref="G25:G25">IFERROR(INDEX(출력범위,SMALL(IF((찾을값=찾을범위),MATCH(ROW(찾을범위),ROW(찾을범위)),""),ROWS($A$1:F24)),COLUMNS($A$1:F24)),"")</x:f>
        <x:v/>
      </x:c>
      <x:c r="H25" s="10" t="str">
        <x:f t="array" ref="H25:H25">IFERROR(INDEX(출력범위,SMALL(IF((찾을값=찾을범위),MATCH(ROW(찾을범위),ROW(찾을범위)),""),ROWS($A$1:G24)),COLUMNS($A$1:G24)),"")</x:f>
        <x:v/>
      </x:c>
      <x:c r="I25" s="11" t="str">
        <x:f t="array" ref="I25:I25">IFERROR(INDEX(출력범위,SMALL(IF((찾을값=찾을범위),MATCH(ROW(찾을범위),ROW(찾을범위)),""),ROWS($A$1:H24)),COLUMNS($A$1:H24)),"")</x:f>
        <x:v/>
      </x:c>
    </x:row>
    <x:row r="26" spans="1:9" ht="20.649999999999999">
      <x:c r="A26" s="172"/>
      <x:c r="B26" s="7" t="str">
        <x:f t="array" ref="B26:B26">IFERROR(INDEX(출력범위,SMALL(IF((찾을값=찾을범위),MATCH(ROW(찾을범위),ROW(찾을범위)),""),ROWS($A$1:A25)),COLUMNS($A$1:A25)),"")</x:f>
        <x:v/>
      </x:c>
      <x:c r="C26" s="7" t="str">
        <x:f t="array" ref="C26:C26">IFERROR(INDEX(출력범위,SMALL(IF((찾을값=찾을범위),MATCH(ROW(찾을범위),ROW(찾을범위)),""),ROWS($A$1:B25)),COLUMNS($A$1:B25)),"")</x:f>
        <x:v/>
      </x:c>
      <x:c r="D26" s="7" t="str">
        <x:f t="array" ref="D26:D26">IFERROR(INDEX(출력범위,SMALL(IF((찾을값=찾을범위),MATCH(ROW(찾을범위),ROW(찾을범위)),""),ROWS($A$1:C25)),COLUMNS($A$1:C25)),"")</x:f>
        <x:v/>
      </x:c>
      <x:c r="E26" s="7" t="str">
        <x:f t="array" ref="E26:E26">IFERROR(INDEX(출력범위,SMALL(IF((찾을값=찾을범위),MATCH(ROW(찾을범위),ROW(찾을범위)),""),ROWS($A$1:D25)),COLUMNS($A$1:D25)),"")</x:f>
        <x:v/>
      </x:c>
      <x:c r="F26" s="7" t="str">
        <x:f t="array" ref="F26:F26">IFERROR(INDEX(출력범위,SMALL(IF((찾을값=찾을범위),MATCH(ROW(찾을범위),ROW(찾을범위)),""),ROWS($A$1:E25)),COLUMNS($A$1:E25)),"")</x:f>
        <x:v/>
      </x:c>
      <x:c r="G26" s="12" t="str">
        <x:f t="array" ref="G26:G26">IFERROR(INDEX(출력범위,SMALL(IF((찾을값=찾을범위),MATCH(ROW(찾을범위),ROW(찾을범위)),""),ROWS($A$1:F25)),COLUMNS($A$1:F25)),"")</x:f>
        <x:v/>
      </x:c>
      <x:c r="H26" s="13" t="str">
        <x:f t="array" ref="H26:H26">IFERROR(INDEX(출력범위,SMALL(IF((찾을값=찾을범위),MATCH(ROW(찾을범위),ROW(찾을범위)),""),ROWS($A$1:G25)),COLUMNS($A$1:G25)),"")</x:f>
        <x:v/>
      </x:c>
      <x:c r="I26" s="14" t="str">
        <x:f t="array" ref="I26:I26">IFERROR(INDEX(출력범위,SMALL(IF((찾을값=찾을범위),MATCH(ROW(찾을범위),ROW(찾을범위)),""),ROWS($A$1:H25)),COLUMNS($A$1:H25)),"")</x:f>
        <x:v/>
      </x:c>
    </x:row>
    <x:row r="27" spans="1:9" ht="20.649999999999999">
      <x:c r="A27" s="173"/>
      <x:c r="B27" s="8" t="str">
        <x:f t="array" ref="B27:B27">IFERROR(INDEX(출력범위,SMALL(IF((찾을값=찾을범위),MATCH(ROW(찾을범위),ROW(찾을범위)),""),ROWS($A$1:A26)),COLUMNS($A$1:A26)),"")</x:f>
        <x:v/>
      </x:c>
      <x:c r="C27" s="8" t="str">
        <x:f t="array" ref="C27:C27">IFERROR(INDEX(출력범위,SMALL(IF((찾을값=찾을범위),MATCH(ROW(찾을범위),ROW(찾을범위)),""),ROWS($A$1:B26)),COLUMNS($A$1:B26)),"")</x:f>
        <x:v/>
      </x:c>
      <x:c r="D27" s="8" t="str">
        <x:f t="array" ref="D27:D27">IFERROR(INDEX(출력범위,SMALL(IF((찾을값=찾을범위),MATCH(ROW(찾을범위),ROW(찾을범위)),""),ROWS($A$1:C26)),COLUMNS($A$1:C26)),"")</x:f>
        <x:v/>
      </x:c>
      <x:c r="E27" s="8" t="str">
        <x:f t="array" ref="E27:E27">IFERROR(INDEX(출력범위,SMALL(IF((찾을값=찾을범위),MATCH(ROW(찾을범위),ROW(찾을범위)),""),ROWS($A$1:D26)),COLUMNS($A$1:D26)),"")</x:f>
        <x:v/>
      </x:c>
      <x:c r="F27" s="8" t="str">
        <x:f t="array" ref="F27:F27">IFERROR(INDEX(출력범위,SMALL(IF((찾을값=찾을범위),MATCH(ROW(찾을범위),ROW(찾을범위)),""),ROWS($A$1:E26)),COLUMNS($A$1:E26)),"")</x:f>
        <x:v/>
      </x:c>
      <x:c r="G27" s="9" t="str">
        <x:f t="array" ref="G27:G27">IFERROR(INDEX(출력범위,SMALL(IF((찾을값=찾을범위),MATCH(ROW(찾을범위),ROW(찾을범위)),""),ROWS($A$1:F26)),COLUMNS($A$1:F26)),"")</x:f>
        <x:v/>
      </x:c>
      <x:c r="H27" s="10" t="str">
        <x:f t="array" ref="H27:H27">IFERROR(INDEX(출력범위,SMALL(IF((찾을값=찾을범위),MATCH(ROW(찾을범위),ROW(찾을범위)),""),ROWS($A$1:G26)),COLUMNS($A$1:G26)),"")</x:f>
        <x:v/>
      </x:c>
      <x:c r="I27" s="11" t="str">
        <x:f t="array" ref="I27:I27">IFERROR(INDEX(출력범위,SMALL(IF((찾을값=찾을범위),MATCH(ROW(찾을범위),ROW(찾을범위)),""),ROWS($A$1:H26)),COLUMNS($A$1:H26)),"")</x:f>
        <x:v/>
      </x:c>
    </x:row>
    <x:row r="28" spans="1:9" ht="20.649999999999999">
      <x:c r="A28" s="172"/>
      <x:c r="B28" s="7" t="str">
        <x:f t="array" ref="B28:B28">IFERROR(INDEX(출력범위,SMALL(IF((찾을값=찾을범위),MATCH(ROW(찾을범위),ROW(찾을범위)),""),ROWS($A$1:A27)),COLUMNS($A$1:A27)),"")</x:f>
        <x:v/>
      </x:c>
      <x:c r="C28" s="7" t="str">
        <x:f t="array" ref="C28:C28">IFERROR(INDEX(출력범위,SMALL(IF((찾을값=찾을범위),MATCH(ROW(찾을범위),ROW(찾을범위)),""),ROWS($A$1:B27)),COLUMNS($A$1:B27)),"")</x:f>
        <x:v/>
      </x:c>
      <x:c r="D28" s="7" t="str">
        <x:f t="array" ref="D28:D28">IFERROR(INDEX(출력범위,SMALL(IF((찾을값=찾을범위),MATCH(ROW(찾을범위),ROW(찾을범위)),""),ROWS($A$1:C27)),COLUMNS($A$1:C27)),"")</x:f>
        <x:v/>
      </x:c>
      <x:c r="E28" s="7" t="str">
        <x:f t="array" ref="E28:E28">IFERROR(INDEX(출력범위,SMALL(IF((찾을값=찾을범위),MATCH(ROW(찾을범위),ROW(찾을범위)),""),ROWS($A$1:D27)),COLUMNS($A$1:D27)),"")</x:f>
        <x:v/>
      </x:c>
      <x:c r="F28" s="7" t="str">
        <x:f t="array" ref="F28:F28">IFERROR(INDEX(출력범위,SMALL(IF((찾을값=찾을범위),MATCH(ROW(찾을범위),ROW(찾을범위)),""),ROWS($A$1:E27)),COLUMNS($A$1:E27)),"")</x:f>
        <x:v/>
      </x:c>
      <x:c r="G28" s="12" t="str">
        <x:f t="array" ref="G28:G28">IFERROR(INDEX(출력범위,SMALL(IF((찾을값=찾을범위),MATCH(ROW(찾을범위),ROW(찾을범위)),""),ROWS($A$1:F27)),COLUMNS($A$1:F27)),"")</x:f>
        <x:v/>
      </x:c>
      <x:c r="H28" s="13" t="str">
        <x:f t="array" ref="H28:H28">IFERROR(INDEX(출력범위,SMALL(IF((찾을값=찾을범위),MATCH(ROW(찾을범위),ROW(찾을범위)),""),ROWS($A$1:G27)),COLUMNS($A$1:G27)),"")</x:f>
        <x:v/>
      </x:c>
      <x:c r="I28" s="14" t="str">
        <x:f t="array" ref="I28:I28">IFERROR(INDEX(출력범위,SMALL(IF((찾을값=찾을범위),MATCH(ROW(찾을범위),ROW(찾을범위)),""),ROWS($A$1:H27)),COLUMNS($A$1:H27)),"")</x:f>
        <x:v/>
      </x:c>
    </x:row>
    <x:row r="29" spans="1:9" ht="20.649999999999999">
      <x:c r="A29" s="173"/>
      <x:c r="B29" s="8" t="str">
        <x:f t="array" ref="B29:B29">IFERROR(INDEX(출력범위,SMALL(IF((찾을값=찾을범위),MATCH(ROW(찾을범위),ROW(찾을범위)),""),ROWS($A$1:A28)),COLUMNS($A$1:A28)),"")</x:f>
        <x:v/>
      </x:c>
      <x:c r="C29" s="8" t="str">
        <x:f t="array" ref="C29:C29">IFERROR(INDEX(출력범위,SMALL(IF((찾을값=찾을범위),MATCH(ROW(찾을범위),ROW(찾을범위)),""),ROWS($A$1:B28)),COLUMNS($A$1:B28)),"")</x:f>
        <x:v/>
      </x:c>
      <x:c r="D29" s="8" t="str">
        <x:f t="array" ref="D29:D29">IFERROR(INDEX(출력범위,SMALL(IF((찾을값=찾을범위),MATCH(ROW(찾을범위),ROW(찾을범위)),""),ROWS($A$1:C28)),COLUMNS($A$1:C28)),"")</x:f>
        <x:v/>
      </x:c>
      <x:c r="E29" s="8" t="str">
        <x:f t="array" ref="E29:E29">IFERROR(INDEX(출력범위,SMALL(IF((찾을값=찾을범위),MATCH(ROW(찾을범위),ROW(찾을범위)),""),ROWS($A$1:D28)),COLUMNS($A$1:D28)),"")</x:f>
        <x:v/>
      </x:c>
      <x:c r="F29" s="8" t="str">
        <x:f t="array" ref="F29:F29">IFERROR(INDEX(출력범위,SMALL(IF((찾을값=찾을범위),MATCH(ROW(찾을범위),ROW(찾을범위)),""),ROWS($A$1:E28)),COLUMNS($A$1:E28)),"")</x:f>
        <x:v/>
      </x:c>
      <x:c r="G29" s="9" t="str">
        <x:f t="array" ref="G29:G29">IFERROR(INDEX(출력범위,SMALL(IF((찾을값=찾을범위),MATCH(ROW(찾을범위),ROW(찾을범위)),""),ROWS($A$1:F28)),COLUMNS($A$1:F28)),"")</x:f>
        <x:v/>
      </x:c>
      <x:c r="H29" s="10" t="str">
        <x:f t="array" ref="H29:H29">IFERROR(INDEX(출력범위,SMALL(IF((찾을값=찾을범위),MATCH(ROW(찾을범위),ROW(찾을범위)),""),ROWS($A$1:G28)),COLUMNS($A$1:G28)),"")</x:f>
        <x:v/>
      </x:c>
      <x:c r="I29" s="11" t="str">
        <x:f t="array" ref="I29:I29">IFERROR(INDEX(출력범위,SMALL(IF((찾을값=찾을범위),MATCH(ROW(찾을범위),ROW(찾을범위)),""),ROWS($A$1:H28)),COLUMNS($A$1:H28)),"")</x:f>
        <x:v/>
      </x:c>
    </x:row>
    <x:row r="30" spans="1:9" ht="20.649999999999999">
      <x:c r="A30" s="172"/>
      <x:c r="B30" s="7" t="str">
        <x:f t="array" ref="B30:B30">IFERROR(INDEX(출력범위,SMALL(IF((찾을값=찾을범위),MATCH(ROW(찾을범위),ROW(찾을범위)),""),ROWS($A$1:A29)),COLUMNS($A$1:A29)),"")</x:f>
        <x:v/>
      </x:c>
      <x:c r="C30" s="7" t="str">
        <x:f t="array" ref="C30:C30">IFERROR(INDEX(출력범위,SMALL(IF((찾을값=찾을범위),MATCH(ROW(찾을범위),ROW(찾을범위)),""),ROWS($A$1:B29)),COLUMNS($A$1:B29)),"")</x:f>
        <x:v/>
      </x:c>
      <x:c r="D30" s="7" t="str">
        <x:f t="array" ref="D30:D30">IFERROR(INDEX(출력범위,SMALL(IF((찾을값=찾을범위),MATCH(ROW(찾을범위),ROW(찾을범위)),""),ROWS($A$1:C29)),COLUMNS($A$1:C29)),"")</x:f>
        <x:v/>
      </x:c>
      <x:c r="E30" s="7" t="str">
        <x:f t="array" ref="E30:E30">IFERROR(INDEX(출력범위,SMALL(IF((찾을값=찾을범위),MATCH(ROW(찾을범위),ROW(찾을범위)),""),ROWS($A$1:D29)),COLUMNS($A$1:D29)),"")</x:f>
        <x:v/>
      </x:c>
      <x:c r="F30" s="7" t="str">
        <x:f t="array" ref="F30:F30">IFERROR(INDEX(출력범위,SMALL(IF((찾을값=찾을범위),MATCH(ROW(찾을범위),ROW(찾을범위)),""),ROWS($A$1:E29)),COLUMNS($A$1:E29)),"")</x:f>
        <x:v/>
      </x:c>
      <x:c r="G30" s="12" t="str">
        <x:f t="array" ref="G30:G30">IFERROR(INDEX(출력범위,SMALL(IF((찾을값=찾을범위),MATCH(ROW(찾을범위),ROW(찾을범위)),""),ROWS($A$1:F29)),COLUMNS($A$1:F29)),"")</x:f>
        <x:v/>
      </x:c>
      <x:c r="H30" s="13" t="str">
        <x:f t="array" ref="H30:H30">IFERROR(INDEX(출력범위,SMALL(IF((찾을값=찾을범위),MATCH(ROW(찾을범위),ROW(찾을범위)),""),ROWS($A$1:G29)),COLUMNS($A$1:G29)),"")</x:f>
        <x:v/>
      </x:c>
      <x:c r="I30" s="14" t="str">
        <x:f t="array" ref="I30:I30">IFERROR(INDEX(출력범위,SMALL(IF((찾을값=찾을범위),MATCH(ROW(찾을범위),ROW(찾을범위)),""),ROWS($A$1:H29)),COLUMNS($A$1:H29)),"")</x:f>
        <x:v/>
      </x:c>
    </x:row>
    <x:row r="31" spans="1:9" ht="20.649999999999999">
      <x:c r="A31" s="173"/>
      <x:c r="B31" s="8" t="str">
        <x:f t="array" ref="B31:B31">IFERROR(INDEX(출력범위,SMALL(IF((찾을값=찾을범위),MATCH(ROW(찾을범위),ROW(찾을범위)),""),ROWS($A$1:A30)),COLUMNS($A$1:A30)),"")</x:f>
        <x:v/>
      </x:c>
      <x:c r="C31" s="8" t="str">
        <x:f t="array" ref="C31:C31">IFERROR(INDEX(출력범위,SMALL(IF((찾을값=찾을범위),MATCH(ROW(찾을범위),ROW(찾을범위)),""),ROWS($A$1:B30)),COLUMNS($A$1:B30)),"")</x:f>
        <x:v/>
      </x:c>
      <x:c r="D31" s="8" t="str">
        <x:f t="array" ref="D31:D31">IFERROR(INDEX(출력범위,SMALL(IF((찾을값=찾을범위),MATCH(ROW(찾을범위),ROW(찾을범위)),""),ROWS($A$1:C30)),COLUMNS($A$1:C30)),"")</x:f>
        <x:v/>
      </x:c>
      <x:c r="E31" s="8" t="str">
        <x:f t="array" ref="E31:E31">IFERROR(INDEX(출력범위,SMALL(IF((찾을값=찾을범위),MATCH(ROW(찾을범위),ROW(찾을범위)),""),ROWS($A$1:D30)),COLUMNS($A$1:D30)),"")</x:f>
        <x:v/>
      </x:c>
      <x:c r="F31" s="8" t="str">
        <x:f t="array" ref="F31:F31">IFERROR(INDEX(출력범위,SMALL(IF((찾을값=찾을범위),MATCH(ROW(찾을범위),ROW(찾을범위)),""),ROWS($A$1:E30)),COLUMNS($A$1:E30)),"")</x:f>
        <x:v/>
      </x:c>
      <x:c r="G31" s="9" t="str">
        <x:f t="array" ref="G31:G31">IFERROR(INDEX(출력범위,SMALL(IF((찾을값=찾을범위),MATCH(ROW(찾을범위),ROW(찾을범위)),""),ROWS($A$1:F30)),COLUMNS($A$1:F30)),"")</x:f>
        <x:v/>
      </x:c>
      <x:c r="H31" s="10" t="str">
        <x:f t="array" ref="H31:H31">IFERROR(INDEX(출력범위,SMALL(IF((찾을값=찾을범위),MATCH(ROW(찾을범위),ROW(찾을범위)),""),ROWS($A$1:G30)),COLUMNS($A$1:G30)),"")</x:f>
        <x:v/>
      </x:c>
      <x:c r="I31" s="11" t="str">
        <x:f t="array" ref="I31:I31">IFERROR(INDEX(출력범위,SMALL(IF((찾을값=찾을범위),MATCH(ROW(찾을범위),ROW(찾을범위)),""),ROWS($A$1:H30)),COLUMNS($A$1:H30)),"")</x:f>
        <x:v/>
      </x:c>
    </x:row>
    <x:row r="32" spans="1:9" ht="20.649999999999999">
      <x:c r="A32" s="172"/>
      <x:c r="B32" s="7" t="str">
        <x:f t="array" ref="B32:B32">IFERROR(INDEX(출력범위,SMALL(IF((찾을값=찾을범위),MATCH(ROW(찾을범위),ROW(찾을범위)),""),ROWS($A$1:A31)),COLUMNS($A$1:A31)),"")</x:f>
        <x:v/>
      </x:c>
      <x:c r="C32" s="7" t="str">
        <x:f t="array" ref="C32:C32">IFERROR(INDEX(출력범위,SMALL(IF((찾을값=찾을범위),MATCH(ROW(찾을범위),ROW(찾을범위)),""),ROWS($A$1:B31)),COLUMNS($A$1:B31)),"")</x:f>
        <x:v/>
      </x:c>
      <x:c r="D32" s="7" t="str">
        <x:f t="array" ref="D32:D32">IFERROR(INDEX(출력범위,SMALL(IF((찾을값=찾을범위),MATCH(ROW(찾을범위),ROW(찾을범위)),""),ROWS($A$1:C31)),COLUMNS($A$1:C31)),"")</x:f>
        <x:v/>
      </x:c>
      <x:c r="E32" s="7" t="str">
        <x:f t="array" ref="E32:E32">IFERROR(INDEX(출력범위,SMALL(IF((찾을값=찾을범위),MATCH(ROW(찾을범위),ROW(찾을범위)),""),ROWS($A$1:D31)),COLUMNS($A$1:D31)),"")</x:f>
        <x:v/>
      </x:c>
      <x:c r="F32" s="7" t="str">
        <x:f t="array" ref="F32:F32">IFERROR(INDEX(출력범위,SMALL(IF((찾을값=찾을범위),MATCH(ROW(찾을범위),ROW(찾을범위)),""),ROWS($A$1:E31)),COLUMNS($A$1:E31)),"")</x:f>
        <x:v/>
      </x:c>
      <x:c r="G32" s="12" t="str">
        <x:f t="array" ref="G32:G32">IFERROR(INDEX(출력범위,SMALL(IF((찾을값=찾을범위),MATCH(ROW(찾을범위),ROW(찾을범위)),""),ROWS($A$1:F31)),COLUMNS($A$1:F31)),"")</x:f>
        <x:v/>
      </x:c>
      <x:c r="H32" s="13" t="str">
        <x:f t="array" ref="H32:H32">IFERROR(INDEX(출력범위,SMALL(IF((찾을값=찾을범위),MATCH(ROW(찾을범위),ROW(찾을범위)),""),ROWS($A$1:G31)),COLUMNS($A$1:G31)),"")</x:f>
        <x:v/>
      </x:c>
      <x:c r="I32" s="14" t="str">
        <x:f t="array" ref="I32:I32">IFERROR(INDEX(출력범위,SMALL(IF((찾을값=찾을범위),MATCH(ROW(찾을범위),ROW(찾을범위)),""),ROWS($A$1:H31)),COLUMNS($A$1:H31)),"")</x:f>
        <x:v/>
      </x:c>
    </x:row>
    <x:row r="33" spans="1:9" ht="20.649999999999999">
      <x:c r="A33" s="173"/>
      <x:c r="B33" s="8" t="str">
        <x:f t="array" ref="B33:B33">IFERROR(INDEX(출력범위,SMALL(IF((찾을값=찾을범위),MATCH(ROW(찾을범위),ROW(찾을범위)),""),ROWS($A$1:A32)),COLUMNS($A$1:A32)),"")</x:f>
        <x:v/>
      </x:c>
      <x:c r="C33" s="8" t="str">
        <x:f t="array" ref="C33:C33">IFERROR(INDEX(출력범위,SMALL(IF((찾을값=찾을범위),MATCH(ROW(찾을범위),ROW(찾을범위)),""),ROWS($A$1:B32)),COLUMNS($A$1:B32)),"")</x:f>
        <x:v/>
      </x:c>
      <x:c r="D33" s="8" t="str">
        <x:f t="array" ref="D33:D33">IFERROR(INDEX(출력범위,SMALL(IF((찾을값=찾을범위),MATCH(ROW(찾을범위),ROW(찾을범위)),""),ROWS($A$1:C32)),COLUMNS($A$1:C32)),"")</x:f>
        <x:v/>
      </x:c>
      <x:c r="E33" s="8" t="str">
        <x:f t="array" ref="E33:E33">IFERROR(INDEX(출력범위,SMALL(IF((찾을값=찾을범위),MATCH(ROW(찾을범위),ROW(찾을범위)),""),ROWS($A$1:D32)),COLUMNS($A$1:D32)),"")</x:f>
        <x:v/>
      </x:c>
      <x:c r="F33" s="8" t="str">
        <x:f t="array" ref="F33:F33">IFERROR(INDEX(출력범위,SMALL(IF((찾을값=찾을범위),MATCH(ROW(찾을범위),ROW(찾을범위)),""),ROWS($A$1:E32)),COLUMNS($A$1:E32)),"")</x:f>
        <x:v/>
      </x:c>
      <x:c r="G33" s="9" t="str">
        <x:f t="array" ref="G33:G33">IFERROR(INDEX(출력범위,SMALL(IF((찾을값=찾을범위),MATCH(ROW(찾을범위),ROW(찾을범위)),""),ROWS($A$1:F32)),COLUMNS($A$1:F32)),"")</x:f>
        <x:v/>
      </x:c>
      <x:c r="H33" s="10" t="str">
        <x:f t="array" ref="H33:H33">IFERROR(INDEX(출력범위,SMALL(IF((찾을값=찾을범위),MATCH(ROW(찾을범위),ROW(찾을범위)),""),ROWS($A$1:G32)),COLUMNS($A$1:G32)),"")</x:f>
        <x:v/>
      </x:c>
      <x:c r="I33" s="11" t="str">
        <x:f t="array" ref="I33:I33">IFERROR(INDEX(출력범위,SMALL(IF((찾을값=찾을범위),MATCH(ROW(찾을범위),ROW(찾을범위)),""),ROWS($A$1:H32)),COLUMNS($A$1:H32)),"")</x:f>
        <x:v/>
      </x:c>
    </x:row>
    <x:row r="34" spans="1:9" ht="20.649999999999999">
      <x:c r="A34" s="172"/>
      <x:c r="B34" s="7" t="str">
        <x:f t="array" ref="B34:B34">IFERROR(INDEX(출력범위,SMALL(IF((찾을값=찾을범위),MATCH(ROW(찾을범위),ROW(찾을범위)),""),ROWS($A$1:A33)),COLUMNS($A$1:A33)),"")</x:f>
        <x:v/>
      </x:c>
      <x:c r="C34" s="7" t="str">
        <x:f t="array" ref="C34:C34">IFERROR(INDEX(출력범위,SMALL(IF((찾을값=찾을범위),MATCH(ROW(찾을범위),ROW(찾을범위)),""),ROWS($A$1:B33)),COLUMNS($A$1:B33)),"")</x:f>
        <x:v/>
      </x:c>
      <x:c r="D34" s="7" t="str">
        <x:f t="array" ref="D34:D34">IFERROR(INDEX(출력범위,SMALL(IF((찾을값=찾을범위),MATCH(ROW(찾을범위),ROW(찾을범위)),""),ROWS($A$1:C33)),COLUMNS($A$1:C33)),"")</x:f>
        <x:v/>
      </x:c>
      <x:c r="E34" s="7" t="str">
        <x:f t="array" ref="E34:E34">IFERROR(INDEX(출력범위,SMALL(IF((찾을값=찾을범위),MATCH(ROW(찾을범위),ROW(찾을범위)),""),ROWS($A$1:D33)),COLUMNS($A$1:D33)),"")</x:f>
        <x:v/>
      </x:c>
      <x:c r="F34" s="7" t="str">
        <x:f t="array" ref="F34:F34">IFERROR(INDEX(출력범위,SMALL(IF((찾을값=찾을범위),MATCH(ROW(찾을범위),ROW(찾을범위)),""),ROWS($A$1:E33)),COLUMNS($A$1:E33)),"")</x:f>
        <x:v/>
      </x:c>
      <x:c r="G34" s="12" t="str">
        <x:f t="array" ref="G34:G34">IFERROR(INDEX(출력범위,SMALL(IF((찾을값=찾을범위),MATCH(ROW(찾을범위),ROW(찾을범위)),""),ROWS($A$1:F33)),COLUMNS($A$1:F33)),"")</x:f>
        <x:v/>
      </x:c>
      <x:c r="H34" s="13" t="str">
        <x:f t="array" ref="H34:H34">IFERROR(INDEX(출력범위,SMALL(IF((찾을값=찾을범위),MATCH(ROW(찾을범위),ROW(찾을범위)),""),ROWS($A$1:G33)),COLUMNS($A$1:G33)),"")</x:f>
        <x:v/>
      </x:c>
      <x:c r="I34" s="14" t="str">
        <x:f t="array" ref="I34:I34">IFERROR(INDEX(출력범위,SMALL(IF((찾을값=찾을범위),MATCH(ROW(찾을범위),ROW(찾을범위)),""),ROWS($A$1:H33)),COLUMNS($A$1:H33)),"")</x:f>
        <x:v/>
      </x:c>
    </x:row>
    <x:row r="35" spans="1:9" ht="20.649999999999999">
      <x:c r="A35" s="173"/>
      <x:c r="B35" s="8" t="str">
        <x:f t="array" ref="B35:B35">IFERROR(INDEX(출력범위,SMALL(IF((찾을값=찾을범위),MATCH(ROW(찾을범위),ROW(찾을범위)),""),ROWS($A$1:A34)),COLUMNS($A$1:A34)),"")</x:f>
        <x:v/>
      </x:c>
      <x:c r="C35" s="8" t="str">
        <x:f t="array" ref="C35:C35">IFERROR(INDEX(출력범위,SMALL(IF((찾을값=찾을범위),MATCH(ROW(찾을범위),ROW(찾을범위)),""),ROWS($A$1:B34)),COLUMNS($A$1:B34)),"")</x:f>
        <x:v/>
      </x:c>
      <x:c r="D35" s="8" t="str">
        <x:f t="array" ref="D35:D35">IFERROR(INDEX(출력범위,SMALL(IF((찾을값=찾을범위),MATCH(ROW(찾을범위),ROW(찾을범위)),""),ROWS($A$1:C34)),COLUMNS($A$1:C34)),"")</x:f>
        <x:v/>
      </x:c>
      <x:c r="E35" s="8" t="str">
        <x:f t="array" ref="E35:E35">IFERROR(INDEX(출력범위,SMALL(IF((찾을값=찾을범위),MATCH(ROW(찾을범위),ROW(찾을범위)),""),ROWS($A$1:D34)),COLUMNS($A$1:D34)),"")</x:f>
        <x:v/>
      </x:c>
      <x:c r="F35" s="8" t="str">
        <x:f t="array" ref="F35:F35">IFERROR(INDEX(출력범위,SMALL(IF((찾을값=찾을범위),MATCH(ROW(찾을범위),ROW(찾을범위)),""),ROWS($A$1:E34)),COLUMNS($A$1:E34)),"")</x:f>
        <x:v/>
      </x:c>
      <x:c r="G35" s="9" t="str">
        <x:f t="array" ref="G35:G35">IFERROR(INDEX(출력범위,SMALL(IF((찾을값=찾을범위),MATCH(ROW(찾을범위),ROW(찾을범위)),""),ROWS($A$1:F34)),COLUMNS($A$1:F34)),"")</x:f>
        <x:v/>
      </x:c>
      <x:c r="H35" s="10" t="str">
        <x:f t="array" ref="H35:H35">IFERROR(INDEX(출력범위,SMALL(IF((찾을값=찾을범위),MATCH(ROW(찾을범위),ROW(찾을범위)),""),ROWS($A$1:G34)),COLUMNS($A$1:G34)),"")</x:f>
        <x:v/>
      </x:c>
      <x:c r="I35" s="11" t="str">
        <x:f t="array" ref="I35:I35">IFERROR(INDEX(출력범위,SMALL(IF((찾을값=찾을범위),MATCH(ROW(찾을범위),ROW(찾을범위)),""),ROWS($A$1:H34)),COLUMNS($A$1:H34)),"")</x:f>
        <x:v/>
      </x:c>
    </x:row>
    <x:row r="36" spans="1:9" ht="20.649999999999999">
      <x:c r="A36" s="172"/>
      <x:c r="B36" s="7" t="str">
        <x:f t="array" ref="B36:B36">IFERROR(INDEX(출력범위,SMALL(IF((찾을값=찾을범위),MATCH(ROW(찾을범위),ROW(찾을범위)),""),ROWS($A$1:A35)),COLUMNS($A$1:A35)),"")</x:f>
        <x:v/>
      </x:c>
      <x:c r="C36" s="7" t="str">
        <x:f t="array" ref="C36:C36">IFERROR(INDEX(출력범위,SMALL(IF((찾을값=찾을범위),MATCH(ROW(찾을범위),ROW(찾을범위)),""),ROWS($A$1:B35)),COLUMNS($A$1:B35)),"")</x:f>
        <x:v/>
      </x:c>
      <x:c r="D36" s="7" t="str">
        <x:f t="array" ref="D36:D36">IFERROR(INDEX(출력범위,SMALL(IF((찾을값=찾을범위),MATCH(ROW(찾을범위),ROW(찾을범위)),""),ROWS($A$1:C35)),COLUMNS($A$1:C35)),"")</x:f>
        <x:v/>
      </x:c>
      <x:c r="E36" s="7" t="str">
        <x:f t="array" ref="E36:E36">IFERROR(INDEX(출력범위,SMALL(IF((찾을값=찾을범위),MATCH(ROW(찾을범위),ROW(찾을범위)),""),ROWS($A$1:D35)),COLUMNS($A$1:D35)),"")</x:f>
        <x:v/>
      </x:c>
      <x:c r="F36" s="7" t="str">
        <x:f t="array" ref="F36:F36">IFERROR(INDEX(출력범위,SMALL(IF((찾을값=찾을범위),MATCH(ROW(찾을범위),ROW(찾을범위)),""),ROWS($A$1:E35)),COLUMNS($A$1:E35)),"")</x:f>
        <x:v/>
      </x:c>
      <x:c r="G36" s="12" t="str">
        <x:f t="array" ref="G36:G36">IFERROR(INDEX(출력범위,SMALL(IF((찾을값=찾을범위),MATCH(ROW(찾을범위),ROW(찾을범위)),""),ROWS($A$1:F35)),COLUMNS($A$1:F35)),"")</x:f>
        <x:v/>
      </x:c>
      <x:c r="H36" s="13" t="str">
        <x:f t="array" ref="H36:H36">IFERROR(INDEX(출력범위,SMALL(IF((찾을값=찾을범위),MATCH(ROW(찾을범위),ROW(찾을범위)),""),ROWS($A$1:G35)),COLUMNS($A$1:G35)),"")</x:f>
        <x:v/>
      </x:c>
      <x:c r="I36" s="14" t="str">
        <x:f t="array" ref="I36:I36">IFERROR(INDEX(출력범위,SMALL(IF((찾을값=찾을범위),MATCH(ROW(찾을범위),ROW(찾을범위)),""),ROWS($A$1:H35)),COLUMNS($A$1:H35)),"")</x:f>
        <x:v/>
      </x:c>
    </x:row>
    <x:row r="37" spans="1:9" ht="20.649999999999999">
      <x:c r="A37" s="173"/>
      <x:c r="B37" s="8" t="str">
        <x:f t="array" ref="B37:B37">IFERROR(INDEX(출력범위,SMALL(IF((찾을값=찾을범위),MATCH(ROW(찾을범위),ROW(찾을범위)),""),ROWS($A$1:A36)),COLUMNS($A$1:A36)),"")</x:f>
        <x:v/>
      </x:c>
      <x:c r="C37" s="8" t="str">
        <x:f t="array" ref="C37:C37">IFERROR(INDEX(출력범위,SMALL(IF((찾을값=찾을범위),MATCH(ROW(찾을범위),ROW(찾을범위)),""),ROWS($A$1:B36)),COLUMNS($A$1:B36)),"")</x:f>
        <x:v/>
      </x:c>
      <x:c r="D37" s="8" t="str">
        <x:f t="array" ref="D37:D37">IFERROR(INDEX(출력범위,SMALL(IF((찾을값=찾을범위),MATCH(ROW(찾을범위),ROW(찾을범위)),""),ROWS($A$1:C36)),COLUMNS($A$1:C36)),"")</x:f>
        <x:v/>
      </x:c>
      <x:c r="E37" s="8" t="str">
        <x:f t="array" ref="E37:E37">IFERROR(INDEX(출력범위,SMALL(IF((찾을값=찾을범위),MATCH(ROW(찾을범위),ROW(찾을범위)),""),ROWS($A$1:D36)),COLUMNS($A$1:D36)),"")</x:f>
        <x:v/>
      </x:c>
      <x:c r="F37" s="8" t="str">
        <x:f t="array" ref="F37:F37">IFERROR(INDEX(출력범위,SMALL(IF((찾을값=찾을범위),MATCH(ROW(찾을범위),ROW(찾을범위)),""),ROWS($A$1:E36)),COLUMNS($A$1:E36)),"")</x:f>
        <x:v/>
      </x:c>
      <x:c r="G37" s="9" t="str">
        <x:f t="array" ref="G37:G37">IFERROR(INDEX(출력범위,SMALL(IF((찾을값=찾을범위),MATCH(ROW(찾을범위),ROW(찾을범위)),""),ROWS($A$1:F36)),COLUMNS($A$1:F36)),"")</x:f>
        <x:v/>
      </x:c>
      <x:c r="H37" s="10" t="str">
        <x:f t="array" ref="H37:H37">IFERROR(INDEX(출력범위,SMALL(IF((찾을값=찾을범위),MATCH(ROW(찾을범위),ROW(찾을범위)),""),ROWS($A$1:G36)),COLUMNS($A$1:G36)),"")</x:f>
        <x:v/>
      </x:c>
      <x:c r="I37" s="11" t="str">
        <x:f t="array" ref="I37:I37">IFERROR(INDEX(출력범위,SMALL(IF((찾을값=찾을범위),MATCH(ROW(찾을범위),ROW(찾을범위)),""),ROWS($A$1:H36)),COLUMNS($A$1:H36)),"")</x:f>
        <x:v/>
      </x:c>
    </x:row>
    <x:row r="38" spans="1:9" ht="20.649999999999999">
      <x:c r="A38" s="172"/>
      <x:c r="B38" s="7" t="str">
        <x:f t="array" ref="B38:B38">IFERROR(INDEX(출력범위,SMALL(IF((찾을값=찾을범위),MATCH(ROW(찾을범위),ROW(찾을범위)),""),ROWS($A$1:A37)),COLUMNS($A$1:A37)),"")</x:f>
        <x:v/>
      </x:c>
      <x:c r="C38" s="7" t="str">
        <x:f t="array" ref="C38:C38">IFERROR(INDEX(출력범위,SMALL(IF((찾을값=찾을범위),MATCH(ROW(찾을범위),ROW(찾을범위)),""),ROWS($A$1:B37)),COLUMNS($A$1:B37)),"")</x:f>
        <x:v/>
      </x:c>
      <x:c r="D38" s="7" t="str">
        <x:f t="array" ref="D38:D38">IFERROR(INDEX(출력범위,SMALL(IF((찾을값=찾을범위),MATCH(ROW(찾을범위),ROW(찾을범위)),""),ROWS($A$1:C37)),COLUMNS($A$1:C37)),"")</x:f>
        <x:v/>
      </x:c>
      <x:c r="E38" s="7" t="str">
        <x:f t="array" ref="E38:E38">IFERROR(INDEX(출력범위,SMALL(IF((찾을값=찾을범위),MATCH(ROW(찾을범위),ROW(찾을범위)),""),ROWS($A$1:D37)),COLUMNS($A$1:D37)),"")</x:f>
        <x:v/>
      </x:c>
      <x:c r="F38" s="7" t="str">
        <x:f t="array" ref="F38:F38">IFERROR(INDEX(출력범위,SMALL(IF((찾을값=찾을범위),MATCH(ROW(찾을범위),ROW(찾을범위)),""),ROWS($A$1:E37)),COLUMNS($A$1:E37)),"")</x:f>
        <x:v/>
      </x:c>
      <x:c r="G38" s="12" t="str">
        <x:f t="array" ref="G38:G38">IFERROR(INDEX(출력범위,SMALL(IF((찾을값=찾을범위),MATCH(ROW(찾을범위),ROW(찾을범위)),""),ROWS($A$1:F37)),COLUMNS($A$1:F37)),"")</x:f>
        <x:v/>
      </x:c>
      <x:c r="H38" s="13" t="str">
        <x:f t="array" ref="H38:H38">IFERROR(INDEX(출력범위,SMALL(IF((찾을값=찾을범위),MATCH(ROW(찾을범위),ROW(찾을범위)),""),ROWS($A$1:G37)),COLUMNS($A$1:G37)),"")</x:f>
        <x:v/>
      </x:c>
      <x:c r="I38" s="14" t="str">
        <x:f t="array" ref="I38:I38">IFERROR(INDEX(출력범위,SMALL(IF((찾을값=찾을범위),MATCH(ROW(찾을범위),ROW(찾을범위)),""),ROWS($A$1:H37)),COLUMNS($A$1:H37)),"")</x:f>
        <x:v/>
      </x:c>
    </x:row>
    <x:row r="39" spans="1:9" ht="20.649999999999999">
      <x:c r="A39" s="173"/>
      <x:c r="B39" s="8" t="str">
        <x:f t="array" ref="B39:B39">IFERROR(INDEX(출력범위,SMALL(IF((찾을값=찾을범위),MATCH(ROW(찾을범위),ROW(찾을범위)),""),ROWS($A$1:A38)),COLUMNS($A$1:A38)),"")</x:f>
        <x:v/>
      </x:c>
      <x:c r="C39" s="8" t="str">
        <x:f t="array" ref="C39:C39">IFERROR(INDEX(출력범위,SMALL(IF((찾을값=찾을범위),MATCH(ROW(찾을범위),ROW(찾을범위)),""),ROWS($A$1:B38)),COLUMNS($A$1:B38)),"")</x:f>
        <x:v/>
      </x:c>
      <x:c r="D39" s="8" t="str">
        <x:f t="array" ref="D39:D39">IFERROR(INDEX(출력범위,SMALL(IF((찾을값=찾을범위),MATCH(ROW(찾을범위),ROW(찾을범위)),""),ROWS($A$1:C38)),COLUMNS($A$1:C38)),"")</x:f>
        <x:v/>
      </x:c>
      <x:c r="E39" s="8" t="str">
        <x:f t="array" ref="E39:E39">IFERROR(INDEX(출력범위,SMALL(IF((찾을값=찾을범위),MATCH(ROW(찾을범위),ROW(찾을범위)),""),ROWS($A$1:D38)),COLUMNS($A$1:D38)),"")</x:f>
        <x:v/>
      </x:c>
      <x:c r="F39" s="8" t="str">
        <x:f t="array" ref="F39:F39">IFERROR(INDEX(출력범위,SMALL(IF((찾을값=찾을범위),MATCH(ROW(찾을범위),ROW(찾을범위)),""),ROWS($A$1:E38)),COLUMNS($A$1:E38)),"")</x:f>
        <x:v/>
      </x:c>
      <x:c r="G39" s="9" t="str">
        <x:f t="array" ref="G39:G39">IFERROR(INDEX(출력범위,SMALL(IF((찾을값=찾을범위),MATCH(ROW(찾을범위),ROW(찾을범위)),""),ROWS($A$1:F38)),COLUMNS($A$1:F38)),"")</x:f>
        <x:v/>
      </x:c>
      <x:c r="H39" s="10" t="str">
        <x:f t="array" ref="H39:H39">IFERROR(INDEX(출력범위,SMALL(IF((찾을값=찾을범위),MATCH(ROW(찾을범위),ROW(찾을범위)),""),ROWS($A$1:G38)),COLUMNS($A$1:G38)),"")</x:f>
        <x:v/>
      </x:c>
      <x:c r="I39" s="11" t="str">
        <x:f t="array" ref="I39:I39">IFERROR(INDEX(출력범위,SMALL(IF((찾을값=찾을범위),MATCH(ROW(찾을범위),ROW(찾을범위)),""),ROWS($A$1:H38)),COLUMNS($A$1:H38)),"")</x:f>
        <x:v/>
      </x:c>
    </x:row>
    <x:row r="40" spans="1:9" ht="20.649999999999999">
      <x:c r="A40" s="172"/>
      <x:c r="B40" s="7" t="str">
        <x:f t="array" ref="B40:B40">IFERROR(INDEX(출력범위,SMALL(IF((찾을값=찾을범위),MATCH(ROW(찾을범위),ROW(찾을범위)),""),ROWS($A$1:A39)),COLUMNS($A$1:A39)),"")</x:f>
        <x:v/>
      </x:c>
      <x:c r="C40" s="7" t="str">
        <x:f t="array" ref="C40:C40">IFERROR(INDEX(출력범위,SMALL(IF((찾을값=찾을범위),MATCH(ROW(찾을범위),ROW(찾을범위)),""),ROWS($A$1:B39)),COLUMNS($A$1:B39)),"")</x:f>
        <x:v/>
      </x:c>
      <x:c r="D40" s="7" t="str">
        <x:f t="array" ref="D40:D40">IFERROR(INDEX(출력범위,SMALL(IF((찾을값=찾을범위),MATCH(ROW(찾을범위),ROW(찾을범위)),""),ROWS($A$1:C39)),COLUMNS($A$1:C39)),"")</x:f>
        <x:v/>
      </x:c>
      <x:c r="E40" s="7" t="str">
        <x:f t="array" ref="E40:E40">IFERROR(INDEX(출력범위,SMALL(IF((찾을값=찾을범위),MATCH(ROW(찾을범위),ROW(찾을범위)),""),ROWS($A$1:D39)),COLUMNS($A$1:D39)),"")</x:f>
        <x:v/>
      </x:c>
      <x:c r="F40" s="7" t="str">
        <x:f t="array" ref="F40:F40">IFERROR(INDEX(출력범위,SMALL(IF((찾을값=찾을범위),MATCH(ROW(찾을범위),ROW(찾을범위)),""),ROWS($A$1:E39)),COLUMNS($A$1:E39)),"")</x:f>
        <x:v/>
      </x:c>
      <x:c r="G40" s="12" t="str">
        <x:f t="array" ref="G40:G40">IFERROR(INDEX(출력범위,SMALL(IF((찾을값=찾을범위),MATCH(ROW(찾을범위),ROW(찾을범위)),""),ROWS($A$1:F39)),COLUMNS($A$1:F39)),"")</x:f>
        <x:v/>
      </x:c>
      <x:c r="H40" s="13" t="str">
        <x:f t="array" ref="H40:H40">IFERROR(INDEX(출력범위,SMALL(IF((찾을값=찾을범위),MATCH(ROW(찾을범위),ROW(찾을범위)),""),ROWS($A$1:G39)),COLUMNS($A$1:G39)),"")</x:f>
        <x:v/>
      </x:c>
      <x:c r="I40" s="14" t="str">
        <x:f t="array" ref="I40:I40">IFERROR(INDEX(출력범위,SMALL(IF((찾을값=찾을범위),MATCH(ROW(찾을범위),ROW(찾을범위)),""),ROWS($A$1:H39)),COLUMNS($A$1:H39)),"")</x:f>
        <x:v/>
      </x:c>
    </x:row>
    <x:row r="41" spans="1:9" ht="20.649999999999999">
      <x:c r="A41" s="173"/>
      <x:c r="B41" s="8" t="str">
        <x:f t="array" ref="B41:B41">IFERROR(INDEX(출력범위,SMALL(IF((찾을값=찾을범위),MATCH(ROW(찾을범위),ROW(찾을범위)),""),ROWS($A$1:A40)),COLUMNS($A$1:A40)),"")</x:f>
        <x:v/>
      </x:c>
      <x:c r="C41" s="8" t="str">
        <x:f t="array" ref="C41:C41">IFERROR(INDEX(출력범위,SMALL(IF((찾을값=찾을범위),MATCH(ROW(찾을범위),ROW(찾을범위)),""),ROWS($A$1:B40)),COLUMNS($A$1:B40)),"")</x:f>
        <x:v/>
      </x:c>
      <x:c r="D41" s="8" t="str">
        <x:f t="array" ref="D41:D41">IFERROR(INDEX(출력범위,SMALL(IF((찾을값=찾을범위),MATCH(ROW(찾을범위),ROW(찾을범위)),""),ROWS($A$1:C40)),COLUMNS($A$1:C40)),"")</x:f>
        <x:v/>
      </x:c>
      <x:c r="E41" s="8" t="str">
        <x:f t="array" ref="E41:E41">IFERROR(INDEX(출력범위,SMALL(IF((찾을값=찾을범위),MATCH(ROW(찾을범위),ROW(찾을범위)),""),ROWS($A$1:D40)),COLUMNS($A$1:D40)),"")</x:f>
        <x:v/>
      </x:c>
      <x:c r="F41" s="8" t="str">
        <x:f t="array" ref="F41:F41">IFERROR(INDEX(출력범위,SMALL(IF((찾을값=찾을범위),MATCH(ROW(찾을범위),ROW(찾을범위)),""),ROWS($A$1:E40)),COLUMNS($A$1:E40)),"")</x:f>
        <x:v/>
      </x:c>
      <x:c r="G41" s="9" t="str">
        <x:f t="array" ref="G41:G41">IFERROR(INDEX(출력범위,SMALL(IF((찾을값=찾을범위),MATCH(ROW(찾을범위),ROW(찾을범위)),""),ROWS($A$1:F40)),COLUMNS($A$1:F40)),"")</x:f>
        <x:v/>
      </x:c>
      <x:c r="H41" s="10" t="str">
        <x:f t="array" ref="H41:H41">IFERROR(INDEX(출력범위,SMALL(IF((찾을값=찾을범위),MATCH(ROW(찾을범위),ROW(찾을범위)),""),ROWS($A$1:G40)),COLUMNS($A$1:G40)),"")</x:f>
        <x:v/>
      </x:c>
      <x:c r="I41" s="11" t="str">
        <x:f t="array" ref="I41:I41">IFERROR(INDEX(출력범위,SMALL(IF((찾을값=찾을범위),MATCH(ROW(찾을범위),ROW(찾을범위)),""),ROWS($A$1:H40)),COLUMNS($A$1:H40)),"")</x:f>
        <x:v/>
      </x:c>
    </x:row>
    <x:row r="42" spans="1:9" ht="20.649999999999999">
      <x:c r="A42" s="172"/>
      <x:c r="B42" s="7" t="str">
        <x:f t="array" ref="B42:B42">IFERROR(INDEX(출력범위,SMALL(IF((찾을값=찾을범위),MATCH(ROW(찾을범위),ROW(찾을범위)),""),ROWS($A$1:A41)),COLUMNS($A$1:A41)),"")</x:f>
        <x:v/>
      </x:c>
      <x:c r="C42" s="7" t="str">
        <x:f t="array" ref="C42:C42">IFERROR(INDEX(출력범위,SMALL(IF((찾을값=찾을범위),MATCH(ROW(찾을범위),ROW(찾을범위)),""),ROWS($A$1:B41)),COLUMNS($A$1:B41)),"")</x:f>
        <x:v/>
      </x:c>
      <x:c r="D42" s="7" t="str">
        <x:f t="array" ref="D42:D42">IFERROR(INDEX(출력범위,SMALL(IF((찾을값=찾을범위),MATCH(ROW(찾을범위),ROW(찾을범위)),""),ROWS($A$1:C41)),COLUMNS($A$1:C41)),"")</x:f>
        <x:v/>
      </x:c>
      <x:c r="E42" s="7" t="str">
        <x:f t="array" ref="E42:E42">IFERROR(INDEX(출력범위,SMALL(IF((찾을값=찾을범위),MATCH(ROW(찾을범위),ROW(찾을범위)),""),ROWS($A$1:D41)),COLUMNS($A$1:D41)),"")</x:f>
        <x:v/>
      </x:c>
      <x:c r="F42" s="7" t="str">
        <x:f t="array" ref="F42:F42">IFERROR(INDEX(출력범위,SMALL(IF((찾을값=찾을범위),MATCH(ROW(찾을범위),ROW(찾을범위)),""),ROWS($A$1:E41)),COLUMNS($A$1:E41)),"")</x:f>
        <x:v/>
      </x:c>
      <x:c r="G42" s="12" t="str">
        <x:f t="array" ref="G42:G42">IFERROR(INDEX(출력범위,SMALL(IF((찾을값=찾을범위),MATCH(ROW(찾을범위),ROW(찾을범위)),""),ROWS($A$1:F41)),COLUMNS($A$1:F41)),"")</x:f>
        <x:v/>
      </x:c>
      <x:c r="H42" s="13" t="str">
        <x:f t="array" ref="H42:H42">IFERROR(INDEX(출력범위,SMALL(IF((찾을값=찾을범위),MATCH(ROW(찾을범위),ROW(찾을범위)),""),ROWS($A$1:G41)),COLUMNS($A$1:G41)),"")</x:f>
        <x:v/>
      </x:c>
      <x:c r="I42" s="14" t="str">
        <x:f t="array" ref="I42:I42">IFERROR(INDEX(출력범위,SMALL(IF((찾을값=찾을범위),MATCH(ROW(찾을범위),ROW(찾을범위)),""),ROWS($A$1:H41)),COLUMNS($A$1:H41)),"")</x:f>
        <x:v/>
      </x:c>
    </x:row>
    <x:row r="43" spans="1:9" ht="20.649999999999999">
      <x:c r="A43" s="173"/>
      <x:c r="B43" s="8" t="str">
        <x:f t="array" ref="B43:B43">IFERROR(INDEX(출력범위,SMALL(IF((찾을값=찾을범위),MATCH(ROW(찾을범위),ROW(찾을범위)),""),ROWS($A$1:A42)),COLUMNS($A$1:A42)),"")</x:f>
        <x:v/>
      </x:c>
      <x:c r="C43" s="8" t="str">
        <x:f t="array" ref="C43:C43">IFERROR(INDEX(출력범위,SMALL(IF((찾을값=찾을범위),MATCH(ROW(찾을범위),ROW(찾을범위)),""),ROWS($A$1:B42)),COLUMNS($A$1:B42)),"")</x:f>
        <x:v/>
      </x:c>
      <x:c r="D43" s="8" t="str">
        <x:f t="array" ref="D43:D43">IFERROR(INDEX(출력범위,SMALL(IF((찾을값=찾을범위),MATCH(ROW(찾을범위),ROW(찾을범위)),""),ROWS($A$1:C42)),COLUMNS($A$1:C42)),"")</x:f>
        <x:v/>
      </x:c>
      <x:c r="E43" s="8" t="str">
        <x:f t="array" ref="E43:E43">IFERROR(INDEX(출력범위,SMALL(IF((찾을값=찾을범위),MATCH(ROW(찾을범위),ROW(찾을범위)),""),ROWS($A$1:D42)),COLUMNS($A$1:D42)),"")</x:f>
        <x:v/>
      </x:c>
      <x:c r="F43" s="8" t="str">
        <x:f t="array" ref="F43:F43">IFERROR(INDEX(출력범위,SMALL(IF((찾을값=찾을범위),MATCH(ROW(찾을범위),ROW(찾을범위)),""),ROWS($A$1:E42)),COLUMNS($A$1:E42)),"")</x:f>
        <x:v/>
      </x:c>
      <x:c r="G43" s="9" t="str">
        <x:f t="array" ref="G43:G43">IFERROR(INDEX(출력범위,SMALL(IF((찾을값=찾을범위),MATCH(ROW(찾을범위),ROW(찾을범위)),""),ROWS($A$1:F42)),COLUMNS($A$1:F42)),"")</x:f>
        <x:v/>
      </x:c>
      <x:c r="H43" s="10" t="str">
        <x:f t="array" ref="H43:H43">IFERROR(INDEX(출력범위,SMALL(IF((찾을값=찾을범위),MATCH(ROW(찾을범위),ROW(찾을범위)),""),ROWS($A$1:G42)),COLUMNS($A$1:G42)),"")</x:f>
        <x:v/>
      </x:c>
      <x:c r="I43" s="11" t="str">
        <x:f t="array" ref="I43:I43">IFERROR(INDEX(출력범위,SMALL(IF((찾을값=찾을범위),MATCH(ROW(찾을범위),ROW(찾을범위)),""),ROWS($A$1:H42)),COLUMNS($A$1:H42)),"")</x:f>
        <x:v/>
      </x:c>
    </x:row>
    <x:row r="44" spans="1:9" ht="20.649999999999999">
      <x:c r="A44" s="172"/>
      <x:c r="B44" s="7" t="str">
        <x:f t="array" ref="B44:B44">IFERROR(INDEX(출력범위,SMALL(IF((찾을값=찾을범위),MATCH(ROW(찾을범위),ROW(찾을범위)),""),ROWS($A$1:A43)),COLUMNS($A$1:A43)),"")</x:f>
        <x:v/>
      </x:c>
      <x:c r="C44" s="7" t="str">
        <x:f t="array" ref="C44:C44">IFERROR(INDEX(출력범위,SMALL(IF((찾을값=찾을범위),MATCH(ROW(찾을범위),ROW(찾을범위)),""),ROWS($A$1:B43)),COLUMNS($A$1:B43)),"")</x:f>
        <x:v/>
      </x:c>
      <x:c r="D44" s="7" t="str">
        <x:f t="array" ref="D44:D44">IFERROR(INDEX(출력범위,SMALL(IF((찾을값=찾을범위),MATCH(ROW(찾을범위),ROW(찾을범위)),""),ROWS($A$1:C43)),COLUMNS($A$1:C43)),"")</x:f>
        <x:v/>
      </x:c>
      <x:c r="E44" s="7" t="str">
        <x:f t="array" ref="E44:E44">IFERROR(INDEX(출력범위,SMALL(IF((찾을값=찾을범위),MATCH(ROW(찾을범위),ROW(찾을범위)),""),ROWS($A$1:D43)),COLUMNS($A$1:D43)),"")</x:f>
        <x:v/>
      </x:c>
      <x:c r="F44" s="7" t="str">
        <x:f t="array" ref="F44:F44">IFERROR(INDEX(출력범위,SMALL(IF((찾을값=찾을범위),MATCH(ROW(찾을범위),ROW(찾을범위)),""),ROWS($A$1:E43)),COLUMNS($A$1:E43)),"")</x:f>
        <x:v/>
      </x:c>
      <x:c r="G44" s="12" t="str">
        <x:f t="array" ref="G44:G44">IFERROR(INDEX(출력범위,SMALL(IF((찾을값=찾을범위),MATCH(ROW(찾을범위),ROW(찾을범위)),""),ROWS($A$1:F43)),COLUMNS($A$1:F43)),"")</x:f>
        <x:v/>
      </x:c>
      <x:c r="H44" s="13" t="str">
        <x:f t="array" ref="H44:H44">IFERROR(INDEX(출력범위,SMALL(IF((찾을값=찾을범위),MATCH(ROW(찾을범위),ROW(찾을범위)),""),ROWS($A$1:G43)),COLUMNS($A$1:G43)),"")</x:f>
        <x:v/>
      </x:c>
      <x:c r="I44" s="14" t="str">
        <x:f t="array" ref="I44:I44">IFERROR(INDEX(출력범위,SMALL(IF((찾을값=찾을범위),MATCH(ROW(찾을범위),ROW(찾을범위)),""),ROWS($A$1:H43)),COLUMNS($A$1:H43)),"")</x:f>
        <x:v/>
      </x:c>
    </x:row>
    <x:row r="45" spans="1:9" ht="20.649999999999999">
      <x:c r="A45" s="173"/>
      <x:c r="B45" s="8" t="str">
        <x:f t="array" ref="B45:B45">IFERROR(INDEX(출력범위,SMALL(IF((찾을값=찾을범위),MATCH(ROW(찾을범위),ROW(찾을범위)),""),ROWS($A$1:A44)),COLUMNS($A$1:A44)),"")</x:f>
        <x:v/>
      </x:c>
      <x:c r="C45" s="8" t="str">
        <x:f t="array" ref="C45:C45">IFERROR(INDEX(출력범위,SMALL(IF((찾을값=찾을범위),MATCH(ROW(찾을범위),ROW(찾을범위)),""),ROWS($A$1:B44)),COLUMNS($A$1:B44)),"")</x:f>
        <x:v/>
      </x:c>
      <x:c r="D45" s="8" t="str">
        <x:f t="array" ref="D45:D45">IFERROR(INDEX(출력범위,SMALL(IF((찾을값=찾을범위),MATCH(ROW(찾을범위),ROW(찾을범위)),""),ROWS($A$1:C44)),COLUMNS($A$1:C44)),"")</x:f>
        <x:v/>
      </x:c>
      <x:c r="E45" s="8" t="str">
        <x:f t="array" ref="E45:E45">IFERROR(INDEX(출력범위,SMALL(IF((찾을값=찾을범위),MATCH(ROW(찾을범위),ROW(찾을범위)),""),ROWS($A$1:D44)),COLUMNS($A$1:D44)),"")</x:f>
        <x:v/>
      </x:c>
      <x:c r="F45" s="8" t="str">
        <x:f t="array" ref="F45:F45">IFERROR(INDEX(출력범위,SMALL(IF((찾을값=찾을범위),MATCH(ROW(찾을범위),ROW(찾을범위)),""),ROWS($A$1:E44)),COLUMNS($A$1:E44)),"")</x:f>
        <x:v/>
      </x:c>
      <x:c r="G45" s="9" t="str">
        <x:f t="array" ref="G45:G45">IFERROR(INDEX(출력범위,SMALL(IF((찾을값=찾을범위),MATCH(ROW(찾을범위),ROW(찾을범위)),""),ROWS($A$1:F44)),COLUMNS($A$1:F44)),"")</x:f>
        <x:v/>
      </x:c>
      <x:c r="H45" s="10" t="str">
        <x:f t="array" ref="H45:H45">IFERROR(INDEX(출력범위,SMALL(IF((찾을값=찾을범위),MATCH(ROW(찾을범위),ROW(찾을범위)),""),ROWS($A$1:G44)),COLUMNS($A$1:G44)),"")</x:f>
        <x:v/>
      </x:c>
      <x:c r="I45" s="11" t="str">
        <x:f t="array" ref="I45:I45">IFERROR(INDEX(출력범위,SMALL(IF((찾을값=찾을범위),MATCH(ROW(찾을범위),ROW(찾을범위)),""),ROWS($A$1:H44)),COLUMNS($A$1:H44)),"")</x:f>
        <x:v/>
      </x:c>
    </x:row>
    <x:row r="46" spans="1:9" ht="20.649999999999999">
      <x:c r="A46" s="172"/>
      <x:c r="B46" s="7" t="str">
        <x:f t="array" ref="B46:B46">IFERROR(INDEX(출력범위,SMALL(IF((찾을값=찾을범위),MATCH(ROW(찾을범위),ROW(찾을범위)),""),ROWS($A$1:A45)),COLUMNS($A$1:A45)),"")</x:f>
        <x:v/>
      </x:c>
      <x:c r="C46" s="7" t="str">
        <x:f t="array" ref="C46:C46">IFERROR(INDEX(출력범위,SMALL(IF((찾을값=찾을범위),MATCH(ROW(찾을범위),ROW(찾을범위)),""),ROWS($A$1:B45)),COLUMNS($A$1:B45)),"")</x:f>
        <x:v/>
      </x:c>
      <x:c r="D46" s="7" t="str">
        <x:f t="array" ref="D46:D46">IFERROR(INDEX(출력범위,SMALL(IF((찾을값=찾을범위),MATCH(ROW(찾을범위),ROW(찾을범위)),""),ROWS($A$1:C45)),COLUMNS($A$1:C45)),"")</x:f>
        <x:v/>
      </x:c>
      <x:c r="E46" s="7" t="str">
        <x:f t="array" ref="E46:E46">IFERROR(INDEX(출력범위,SMALL(IF((찾을값=찾을범위),MATCH(ROW(찾을범위),ROW(찾을범위)),""),ROWS($A$1:D45)),COLUMNS($A$1:D45)),"")</x:f>
        <x:v/>
      </x:c>
      <x:c r="F46" s="7" t="str">
        <x:f t="array" ref="F46:F46">IFERROR(INDEX(출력범위,SMALL(IF((찾을값=찾을범위),MATCH(ROW(찾을범위),ROW(찾을범위)),""),ROWS($A$1:E45)),COLUMNS($A$1:E45)),"")</x:f>
        <x:v/>
      </x:c>
      <x:c r="G46" s="12" t="str">
        <x:f t="array" ref="G46:G46">IFERROR(INDEX(출력범위,SMALL(IF((찾을값=찾을범위),MATCH(ROW(찾을범위),ROW(찾을범위)),""),ROWS($A$1:F45)),COLUMNS($A$1:F45)),"")</x:f>
        <x:v/>
      </x:c>
      <x:c r="H46" s="13" t="str">
        <x:f t="array" ref="H46:H46">IFERROR(INDEX(출력범위,SMALL(IF((찾을값=찾을범위),MATCH(ROW(찾을범위),ROW(찾을범위)),""),ROWS($A$1:G45)),COLUMNS($A$1:G45)),"")</x:f>
        <x:v/>
      </x:c>
      <x:c r="I46" s="14" t="str">
        <x:f t="array" ref="I46:I46">IFERROR(INDEX(출력범위,SMALL(IF((찾을값=찾을범위),MATCH(ROW(찾을범위),ROW(찾을범위)),""),ROWS($A$1:H45)),COLUMNS($A$1:H45)),"")</x:f>
        <x:v/>
      </x:c>
    </x:row>
    <x:row r="47" spans="1:9" ht="20.649999999999999">
      <x:c r="A47" s="173"/>
      <x:c r="B47" s="8" t="str">
        <x:f t="array" ref="B47:B47">IFERROR(INDEX(출력범위,SMALL(IF((찾을값=찾을범위),MATCH(ROW(찾을범위),ROW(찾을범위)),""),ROWS($A$1:A46)),COLUMNS($A$1:A46)),"")</x:f>
        <x:v/>
      </x:c>
      <x:c r="C47" s="8" t="str">
        <x:f t="array" ref="C47:C47">IFERROR(INDEX(출력범위,SMALL(IF((찾을값=찾을범위),MATCH(ROW(찾을범위),ROW(찾을범위)),""),ROWS($A$1:B46)),COLUMNS($A$1:B46)),"")</x:f>
        <x:v/>
      </x:c>
      <x:c r="D47" s="8" t="str">
        <x:f t="array" ref="D47:D47">IFERROR(INDEX(출력범위,SMALL(IF((찾을값=찾을범위),MATCH(ROW(찾을범위),ROW(찾을범위)),""),ROWS($A$1:C46)),COLUMNS($A$1:C46)),"")</x:f>
        <x:v/>
      </x:c>
      <x:c r="E47" s="8" t="str">
        <x:f t="array" ref="E47:E47">IFERROR(INDEX(출력범위,SMALL(IF((찾을값=찾을범위),MATCH(ROW(찾을범위),ROW(찾을범위)),""),ROWS($A$1:D46)),COLUMNS($A$1:D46)),"")</x:f>
        <x:v/>
      </x:c>
      <x:c r="F47" s="8" t="str">
        <x:f t="array" ref="F47:F47">IFERROR(INDEX(출력범위,SMALL(IF((찾을값=찾을범위),MATCH(ROW(찾을범위),ROW(찾을범위)),""),ROWS($A$1:E46)),COLUMNS($A$1:E46)),"")</x:f>
        <x:v/>
      </x:c>
      <x:c r="G47" s="9" t="str">
        <x:f t="array" ref="G47:G47">IFERROR(INDEX(출력범위,SMALL(IF((찾을값=찾을범위),MATCH(ROW(찾을범위),ROW(찾을범위)),""),ROWS($A$1:F46)),COLUMNS($A$1:F46)),"")</x:f>
        <x:v/>
      </x:c>
      <x:c r="H47" s="10" t="str">
        <x:f t="array" ref="H47:H47">IFERROR(INDEX(출력범위,SMALL(IF((찾을값=찾을범위),MATCH(ROW(찾을범위),ROW(찾을범위)),""),ROWS($A$1:G46)),COLUMNS($A$1:G46)),"")</x:f>
        <x:v/>
      </x:c>
      <x:c r="I47" s="11" t="str">
        <x:f t="array" ref="I47:I47">IFERROR(INDEX(출력범위,SMALL(IF((찾을값=찾을범위),MATCH(ROW(찾을범위),ROW(찾을범위)),""),ROWS($A$1:H46)),COLUMNS($A$1:H46)),"")</x:f>
        <x:v/>
      </x:c>
    </x:row>
    <x:row r="48" spans="1:9" ht="20.649999999999999">
      <x:c r="A48" s="172"/>
      <x:c r="B48" s="7" t="str">
        <x:f t="array" ref="B48:B48">IFERROR(INDEX(출력범위,SMALL(IF((찾을값=찾을범위),MATCH(ROW(찾을범위),ROW(찾을범위)),""),ROWS($A$1:A47)),COLUMNS($A$1:A47)),"")</x:f>
        <x:v/>
      </x:c>
      <x:c r="C48" s="7" t="str">
        <x:f t="array" ref="C48:C48">IFERROR(INDEX(출력범위,SMALL(IF((찾을값=찾을범위),MATCH(ROW(찾을범위),ROW(찾을범위)),""),ROWS($A$1:B47)),COLUMNS($A$1:B47)),"")</x:f>
        <x:v/>
      </x:c>
      <x:c r="D48" s="7" t="str">
        <x:f t="array" ref="D48:D48">IFERROR(INDEX(출력범위,SMALL(IF((찾을값=찾을범위),MATCH(ROW(찾을범위),ROW(찾을범위)),""),ROWS($A$1:C47)),COLUMNS($A$1:C47)),"")</x:f>
        <x:v/>
      </x:c>
      <x:c r="E48" s="7" t="str">
        <x:f t="array" ref="E48:E48">IFERROR(INDEX(출력범위,SMALL(IF((찾을값=찾을범위),MATCH(ROW(찾을범위),ROW(찾을범위)),""),ROWS($A$1:D47)),COLUMNS($A$1:D47)),"")</x:f>
        <x:v/>
      </x:c>
      <x:c r="F48" s="7" t="str">
        <x:f t="array" ref="F48:F48">IFERROR(INDEX(출력범위,SMALL(IF((찾을값=찾을범위),MATCH(ROW(찾을범위),ROW(찾을범위)),""),ROWS($A$1:E47)),COLUMNS($A$1:E47)),"")</x:f>
        <x:v/>
      </x:c>
      <x:c r="G48" s="12" t="str">
        <x:f t="array" ref="G48:G48">IFERROR(INDEX(출력범위,SMALL(IF((찾을값=찾을범위),MATCH(ROW(찾을범위),ROW(찾을범위)),""),ROWS($A$1:F47)),COLUMNS($A$1:F47)),"")</x:f>
        <x:v/>
      </x:c>
      <x:c r="H48" s="13" t="str">
        <x:f t="array" ref="H48:H48">IFERROR(INDEX(출력범위,SMALL(IF((찾을값=찾을범위),MATCH(ROW(찾을범위),ROW(찾을범위)),""),ROWS($A$1:G47)),COLUMNS($A$1:G47)),"")</x:f>
        <x:v/>
      </x:c>
      <x:c r="I48" s="14" t="str">
        <x:f t="array" ref="I48:I48">IFERROR(INDEX(출력범위,SMALL(IF((찾을값=찾을범위),MATCH(ROW(찾을범위),ROW(찾을범위)),""),ROWS($A$1:H47)),COLUMNS($A$1:H47)),"")</x:f>
        <x:v/>
      </x:c>
    </x:row>
    <x:row r="49" spans="1:9" ht="20.649999999999999">
      <x:c r="A49" s="173"/>
      <x:c r="B49" s="8" t="str">
        <x:f t="array" ref="B49:B49">IFERROR(INDEX(출력범위,SMALL(IF((찾을값=찾을범위),MATCH(ROW(찾을범위),ROW(찾을범위)),""),ROWS($A$1:A48)),COLUMNS($A$1:A48)),"")</x:f>
        <x:v/>
      </x:c>
      <x:c r="C49" s="8" t="str">
        <x:f t="array" ref="C49:C49">IFERROR(INDEX(출력범위,SMALL(IF((찾을값=찾을범위),MATCH(ROW(찾을범위),ROW(찾을범위)),""),ROWS($A$1:B48)),COLUMNS($A$1:B48)),"")</x:f>
        <x:v/>
      </x:c>
      <x:c r="D49" s="8" t="str">
        <x:f t="array" ref="D49:D49">IFERROR(INDEX(출력범위,SMALL(IF((찾을값=찾을범위),MATCH(ROW(찾을범위),ROW(찾을범위)),""),ROWS($A$1:C48)),COLUMNS($A$1:C48)),"")</x:f>
        <x:v/>
      </x:c>
      <x:c r="E49" s="8" t="str">
        <x:f t="array" ref="E49:E49">IFERROR(INDEX(출력범위,SMALL(IF((찾을값=찾을범위),MATCH(ROW(찾을범위),ROW(찾을범위)),""),ROWS($A$1:D48)),COLUMNS($A$1:D48)),"")</x:f>
        <x:v/>
      </x:c>
      <x:c r="F49" s="8" t="str">
        <x:f t="array" ref="F49:F49">IFERROR(INDEX(출력범위,SMALL(IF((찾을값=찾을범위),MATCH(ROW(찾을범위),ROW(찾을범위)),""),ROWS($A$1:E48)),COLUMNS($A$1:E48)),"")</x:f>
        <x:v/>
      </x:c>
      <x:c r="G49" s="9" t="str">
        <x:f t="array" ref="G49:G49">IFERROR(INDEX(출력범위,SMALL(IF((찾을값=찾을범위),MATCH(ROW(찾을범위),ROW(찾을범위)),""),ROWS($A$1:F48)),COLUMNS($A$1:F48)),"")</x:f>
        <x:v/>
      </x:c>
      <x:c r="H49" s="10" t="str">
        <x:f t="array" ref="H49:H49">IFERROR(INDEX(출력범위,SMALL(IF((찾을값=찾을범위),MATCH(ROW(찾을범위),ROW(찾을범위)),""),ROWS($A$1:G48)),COLUMNS($A$1:G48)),"")</x:f>
        <x:v/>
      </x:c>
      <x:c r="I49" s="11" t="str">
        <x:f t="array" ref="I49:I49">IFERROR(INDEX(출력범위,SMALL(IF((찾을값=찾을범위),MATCH(ROW(찾을범위),ROW(찾을범위)),""),ROWS($A$1:H48)),COLUMNS($A$1:H48)),"")</x:f>
        <x:v/>
      </x:c>
    </x:row>
    <x:row r="50" spans="1:9" ht="20.649999999999999">
      <x:c r="A50" s="172"/>
      <x:c r="B50" s="7" t="str">
        <x:f t="array" ref="B50:B50">IFERROR(INDEX(출력범위,SMALL(IF((찾을값=찾을범위),MATCH(ROW(찾을범위),ROW(찾을범위)),""),ROWS($A$1:A49)),COLUMNS($A$1:A49)),"")</x:f>
        <x:v/>
      </x:c>
      <x:c r="C50" s="7" t="str">
        <x:f t="array" ref="C50:C50">IFERROR(INDEX(출력범위,SMALL(IF((찾을값=찾을범위),MATCH(ROW(찾을범위),ROW(찾을범위)),""),ROWS($A$1:B49)),COLUMNS($A$1:B49)),"")</x:f>
        <x:v/>
      </x:c>
      <x:c r="D50" s="7" t="str">
        <x:f t="array" ref="D50:D50">IFERROR(INDEX(출력범위,SMALL(IF((찾을값=찾을범위),MATCH(ROW(찾을범위),ROW(찾을범위)),""),ROWS($A$1:C49)),COLUMNS($A$1:C49)),"")</x:f>
        <x:v/>
      </x:c>
      <x:c r="E50" s="7" t="str">
        <x:f t="array" ref="E50:E50">IFERROR(INDEX(출력범위,SMALL(IF((찾을값=찾을범위),MATCH(ROW(찾을범위),ROW(찾을범위)),""),ROWS($A$1:D49)),COLUMNS($A$1:D49)),"")</x:f>
        <x:v/>
      </x:c>
      <x:c r="F50" s="7" t="str">
        <x:f t="array" ref="F50:F50">IFERROR(INDEX(출력범위,SMALL(IF((찾을값=찾을범위),MATCH(ROW(찾을범위),ROW(찾을범위)),""),ROWS($A$1:E49)),COLUMNS($A$1:E49)),"")</x:f>
        <x:v/>
      </x:c>
      <x:c r="G50" s="12" t="str">
        <x:f t="array" ref="G50:G50">IFERROR(INDEX(출력범위,SMALL(IF((찾을값=찾을범위),MATCH(ROW(찾을범위),ROW(찾을범위)),""),ROWS($A$1:F49)),COLUMNS($A$1:F49)),"")</x:f>
        <x:v/>
      </x:c>
      <x:c r="H50" s="13" t="str">
        <x:f t="array" ref="H50:H50">IFERROR(INDEX(출력범위,SMALL(IF((찾을값=찾을범위),MATCH(ROW(찾을범위),ROW(찾을범위)),""),ROWS($A$1:G49)),COLUMNS($A$1:G49)),"")</x:f>
        <x:v/>
      </x:c>
      <x:c r="I50" s="14" t="str">
        <x:f t="array" ref="I50:I50">IFERROR(INDEX(출력범위,SMALL(IF((찾을값=찾을범위),MATCH(ROW(찾을범위),ROW(찾을범위)),""),ROWS($A$1:H49)),COLUMNS($A$1:H49)),"")</x:f>
        <x:v/>
      </x:c>
    </x:row>
    <x:row r="51" spans="1:9" ht="20.649999999999999">
      <x:c r="A51" s="173"/>
      <x:c r="B51" s="8" t="str">
        <x:f t="array" ref="B51:B51">IFERROR(INDEX(출력범위,SMALL(IF((찾을값=찾을범위),MATCH(ROW(찾을범위),ROW(찾을범위)),""),ROWS($A$1:A50)),COLUMNS($A$1:A50)),"")</x:f>
        <x:v/>
      </x:c>
      <x:c r="C51" s="8" t="str">
        <x:f t="array" ref="C51:C51">IFERROR(INDEX(출력범위,SMALL(IF((찾을값=찾을범위),MATCH(ROW(찾을범위),ROW(찾을범위)),""),ROWS($A$1:B50)),COLUMNS($A$1:B50)),"")</x:f>
        <x:v/>
      </x:c>
      <x:c r="D51" s="8" t="str">
        <x:f t="array" ref="D51:D51">IFERROR(INDEX(출력범위,SMALL(IF((찾을값=찾을범위),MATCH(ROW(찾을범위),ROW(찾을범위)),""),ROWS($A$1:C50)),COLUMNS($A$1:C50)),"")</x:f>
        <x:v/>
      </x:c>
      <x:c r="E51" s="8" t="str">
        <x:f t="array" ref="E51:E51">IFERROR(INDEX(출력범위,SMALL(IF((찾을값=찾을범위),MATCH(ROW(찾을범위),ROW(찾을범위)),""),ROWS($A$1:D50)),COLUMNS($A$1:D50)),"")</x:f>
        <x:v/>
      </x:c>
      <x:c r="F51" s="8" t="str">
        <x:f t="array" ref="F51:F51">IFERROR(INDEX(출력범위,SMALL(IF((찾을값=찾을범위),MATCH(ROW(찾을범위),ROW(찾을범위)),""),ROWS($A$1:E50)),COLUMNS($A$1:E50)),"")</x:f>
        <x:v/>
      </x:c>
      <x:c r="G51" s="9" t="str">
        <x:f t="array" ref="G51:G51">IFERROR(INDEX(출력범위,SMALL(IF((찾을값=찾을범위),MATCH(ROW(찾을범위),ROW(찾을범위)),""),ROWS($A$1:F50)),COLUMNS($A$1:F50)),"")</x:f>
        <x:v/>
      </x:c>
      <x:c r="H51" s="10" t="str">
        <x:f t="array" ref="H51:H51">IFERROR(INDEX(출력범위,SMALL(IF((찾을값=찾을범위),MATCH(ROW(찾을범위),ROW(찾을범위)),""),ROWS($A$1:G50)),COLUMNS($A$1:G50)),"")</x:f>
        <x:v/>
      </x:c>
      <x:c r="I51" s="11" t="str">
        <x:f t="array" ref="I51:I51">IFERROR(INDEX(출력범위,SMALL(IF((찾을값=찾을범위),MATCH(ROW(찾을범위),ROW(찾을범위)),""),ROWS($A$1:H50)),COLUMNS($A$1:H50)),"")</x:f>
        <x:v/>
      </x:c>
    </x:row>
    <x:row r="52" spans="1:9" ht="20.649999999999999">
      <x:c r="A52" s="172"/>
      <x:c r="B52" s="7" t="str">
        <x:f t="array" ref="B52:B52">IFERROR(INDEX(출력범위,SMALL(IF((찾을값=찾을범위),MATCH(ROW(찾을범위),ROW(찾을범위)),""),ROWS($A$1:A51)),COLUMNS($A$1:A51)),"")</x:f>
        <x:v/>
      </x:c>
      <x:c r="C52" s="7" t="str">
        <x:f t="array" ref="C52:C52">IFERROR(INDEX(출력범위,SMALL(IF((찾을값=찾을범위),MATCH(ROW(찾을범위),ROW(찾을범위)),""),ROWS($A$1:B51)),COLUMNS($A$1:B51)),"")</x:f>
        <x:v/>
      </x:c>
      <x:c r="D52" s="7" t="str">
        <x:f t="array" ref="D52:D52">IFERROR(INDEX(출력범위,SMALL(IF((찾을값=찾을범위),MATCH(ROW(찾을범위),ROW(찾을범위)),""),ROWS($A$1:C51)),COLUMNS($A$1:C51)),"")</x:f>
        <x:v/>
      </x:c>
      <x:c r="E52" s="7" t="str">
        <x:f t="array" ref="E52:E52">IFERROR(INDEX(출력범위,SMALL(IF((찾을값=찾을범위),MATCH(ROW(찾을범위),ROW(찾을범위)),""),ROWS($A$1:D51)),COLUMNS($A$1:D51)),"")</x:f>
        <x:v/>
      </x:c>
      <x:c r="F52" s="7" t="str">
        <x:f t="array" ref="F52:F52">IFERROR(INDEX(출력범위,SMALL(IF((찾을값=찾을범위),MATCH(ROW(찾을범위),ROW(찾을범위)),""),ROWS($A$1:E51)),COLUMNS($A$1:E51)),"")</x:f>
        <x:v/>
      </x:c>
      <x:c r="G52" s="12" t="str">
        <x:f t="array" ref="G52:G52">IFERROR(INDEX(출력범위,SMALL(IF((찾을값=찾을범위),MATCH(ROW(찾을범위),ROW(찾을범위)),""),ROWS($A$1:F51)),COLUMNS($A$1:F51)),"")</x:f>
        <x:v/>
      </x:c>
      <x:c r="H52" s="13" t="str">
        <x:f t="array" ref="H52:H52">IFERROR(INDEX(출력범위,SMALL(IF((찾을값=찾을범위),MATCH(ROW(찾을범위),ROW(찾을범위)),""),ROWS($A$1:G51)),COLUMNS($A$1:G51)),"")</x:f>
        <x:v/>
      </x:c>
      <x:c r="I52" s="14" t="str">
        <x:f t="array" ref="I52:I52">IFERROR(INDEX(출력범위,SMALL(IF((찾을값=찾을범위),MATCH(ROW(찾을범위),ROW(찾을범위)),""),ROWS($A$1:H51)),COLUMNS($A$1:H51)),"")</x:f>
        <x:v/>
      </x:c>
    </x:row>
    <x:row r="53" spans="1:9" ht="20.649999999999999">
      <x:c r="A53" s="173"/>
      <x:c r="B53" s="8" t="str">
        <x:f t="array" ref="B53:B53">IFERROR(INDEX(출력범위,SMALL(IF((찾을값=찾을범위),MATCH(ROW(찾을범위),ROW(찾을범위)),""),ROWS($A$1:A52)),COLUMNS($A$1:A52)),"")</x:f>
        <x:v/>
      </x:c>
      <x:c r="C53" s="8" t="str">
        <x:f t="array" ref="C53:C53">IFERROR(INDEX(출력범위,SMALL(IF((찾을값=찾을범위),MATCH(ROW(찾을범위),ROW(찾을범위)),""),ROWS($A$1:B52)),COLUMNS($A$1:B52)),"")</x:f>
        <x:v/>
      </x:c>
      <x:c r="D53" s="8" t="str">
        <x:f t="array" ref="D53:D53">IFERROR(INDEX(출력범위,SMALL(IF((찾을값=찾을범위),MATCH(ROW(찾을범위),ROW(찾을범위)),""),ROWS($A$1:C52)),COLUMNS($A$1:C52)),"")</x:f>
        <x:v/>
      </x:c>
      <x:c r="E53" s="8" t="str">
        <x:f t="array" ref="E53:E53">IFERROR(INDEX(출력범위,SMALL(IF((찾을값=찾을범위),MATCH(ROW(찾을범위),ROW(찾을범위)),""),ROWS($A$1:D52)),COLUMNS($A$1:D52)),"")</x:f>
        <x:v/>
      </x:c>
      <x:c r="F53" s="8" t="str">
        <x:f t="array" ref="F53:F53">IFERROR(INDEX(출력범위,SMALL(IF((찾을값=찾을범위),MATCH(ROW(찾을범위),ROW(찾을범위)),""),ROWS($A$1:E52)),COLUMNS($A$1:E52)),"")</x:f>
        <x:v/>
      </x:c>
      <x:c r="G53" s="9" t="str">
        <x:f t="array" ref="G53:G53">IFERROR(INDEX(출력범위,SMALL(IF((찾을값=찾을범위),MATCH(ROW(찾을범위),ROW(찾을범위)),""),ROWS($A$1:F52)),COLUMNS($A$1:F52)),"")</x:f>
        <x:v/>
      </x:c>
      <x:c r="H53" s="10" t="str">
        <x:f t="array" ref="H53:H53">IFERROR(INDEX(출력범위,SMALL(IF((찾을값=찾을범위),MATCH(ROW(찾을범위),ROW(찾을범위)),""),ROWS($A$1:G52)),COLUMNS($A$1:G52)),"")</x:f>
        <x:v/>
      </x:c>
      <x:c r="I53" s="11" t="str">
        <x:f t="array" ref="I53:I53">IFERROR(INDEX(출력범위,SMALL(IF((찾을값=찾을범위),MATCH(ROW(찾을범위),ROW(찾을범위)),""),ROWS($A$1:H52)),COLUMNS($A$1:H52)),"")</x:f>
        <x:v/>
      </x:c>
    </x:row>
    <x:row r="54" spans="1:9" ht="20.649999999999999">
      <x:c r="A54" s="172"/>
      <x:c r="B54" s="7" t="str">
        <x:f t="array" ref="B54:B54">IFERROR(INDEX(출력범위,SMALL(IF((찾을값=찾을범위),MATCH(ROW(찾을범위),ROW(찾을범위)),""),ROWS($A$1:A53)),COLUMNS($A$1:A53)),"")</x:f>
        <x:v/>
      </x:c>
      <x:c r="C54" s="7" t="str">
        <x:f t="array" ref="C54:C54">IFERROR(INDEX(출력범위,SMALL(IF((찾을값=찾을범위),MATCH(ROW(찾을범위),ROW(찾을범위)),""),ROWS($A$1:B53)),COLUMNS($A$1:B53)),"")</x:f>
        <x:v/>
      </x:c>
      <x:c r="D54" s="7" t="str">
        <x:f t="array" ref="D54:D54">IFERROR(INDEX(출력범위,SMALL(IF((찾을값=찾을범위),MATCH(ROW(찾을범위),ROW(찾을범위)),""),ROWS($A$1:C53)),COLUMNS($A$1:C53)),"")</x:f>
        <x:v/>
      </x:c>
      <x:c r="E54" s="7" t="str">
        <x:f t="array" ref="E54:E54">IFERROR(INDEX(출력범위,SMALL(IF((찾을값=찾을범위),MATCH(ROW(찾을범위),ROW(찾을범위)),""),ROWS($A$1:D53)),COLUMNS($A$1:D53)),"")</x:f>
        <x:v/>
      </x:c>
      <x:c r="F54" s="7" t="str">
        <x:f t="array" ref="F54:F54">IFERROR(INDEX(출력범위,SMALL(IF((찾을값=찾을범위),MATCH(ROW(찾을범위),ROW(찾을범위)),""),ROWS($A$1:E53)),COLUMNS($A$1:E53)),"")</x:f>
        <x:v/>
      </x:c>
      <x:c r="G54" s="12" t="str">
        <x:f t="array" ref="G54:G54">IFERROR(INDEX(출력범위,SMALL(IF((찾을값=찾을범위),MATCH(ROW(찾을범위),ROW(찾을범위)),""),ROWS($A$1:F53)),COLUMNS($A$1:F53)),"")</x:f>
        <x:v/>
      </x:c>
      <x:c r="H54" s="13" t="str">
        <x:f t="array" ref="H54:H54">IFERROR(INDEX(출력범위,SMALL(IF((찾을값=찾을범위),MATCH(ROW(찾을범위),ROW(찾을범위)),""),ROWS($A$1:G53)),COLUMNS($A$1:G53)),"")</x:f>
        <x:v/>
      </x:c>
      <x:c r="I54" s="14" t="str">
        <x:f t="array" ref="I54:I54">IFERROR(INDEX(출력범위,SMALL(IF((찾을값=찾을범위),MATCH(ROW(찾을범위),ROW(찾을범위)),""),ROWS($A$1:H53)),COLUMNS($A$1:H53)),"")</x:f>
        <x:v/>
      </x:c>
    </x:row>
    <x:row r="55" spans="1:9" ht="20.649999999999999">
      <x:c r="A55" s="173"/>
      <x:c r="B55" s="8" t="str">
        <x:f t="array" ref="B55:B55">IFERROR(INDEX(출력범위,SMALL(IF((찾을값=찾을범위),MATCH(ROW(찾을범위),ROW(찾을범위)),""),ROWS($A$1:A54)),COLUMNS($A$1:A54)),"")</x:f>
        <x:v/>
      </x:c>
      <x:c r="C55" s="8" t="str">
        <x:f t="array" ref="C55:C55">IFERROR(INDEX(출력범위,SMALL(IF((찾을값=찾을범위),MATCH(ROW(찾을범위),ROW(찾을범위)),""),ROWS($A$1:B54)),COLUMNS($A$1:B54)),"")</x:f>
        <x:v/>
      </x:c>
      <x:c r="D55" s="8" t="str">
        <x:f t="array" ref="D55:D55">IFERROR(INDEX(출력범위,SMALL(IF((찾을값=찾을범위),MATCH(ROW(찾을범위),ROW(찾을범위)),""),ROWS($A$1:C54)),COLUMNS($A$1:C54)),"")</x:f>
        <x:v/>
      </x:c>
      <x:c r="E55" s="8" t="str">
        <x:f t="array" ref="E55:E55">IFERROR(INDEX(출력범위,SMALL(IF((찾을값=찾을범위),MATCH(ROW(찾을범위),ROW(찾을범위)),""),ROWS($A$1:D54)),COLUMNS($A$1:D54)),"")</x:f>
        <x:v/>
      </x:c>
      <x:c r="F55" s="8" t="str">
        <x:f t="array" ref="F55:F55">IFERROR(INDEX(출력범위,SMALL(IF((찾을값=찾을범위),MATCH(ROW(찾을범위),ROW(찾을범위)),""),ROWS($A$1:E54)),COLUMNS($A$1:E54)),"")</x:f>
        <x:v/>
      </x:c>
      <x:c r="G55" s="9" t="str">
        <x:f t="array" ref="G55:G55">IFERROR(INDEX(출력범위,SMALL(IF((찾을값=찾을범위),MATCH(ROW(찾을범위),ROW(찾을범위)),""),ROWS($A$1:F54)),COLUMNS($A$1:F54)),"")</x:f>
        <x:v/>
      </x:c>
      <x:c r="H55" s="10" t="str">
        <x:f t="array" ref="H55:H55">IFERROR(INDEX(출력범위,SMALL(IF((찾을값=찾을범위),MATCH(ROW(찾을범위),ROW(찾을범위)),""),ROWS($A$1:G54)),COLUMNS($A$1:G54)),"")</x:f>
        <x:v/>
      </x:c>
      <x:c r="I55" s="11" t="str">
        <x:f t="array" ref="I55:I55">IFERROR(INDEX(출력범위,SMALL(IF((찾을값=찾을범위),MATCH(ROW(찾을범위),ROW(찾을범위)),""),ROWS($A$1:H54)),COLUMNS($A$1:H54)),"")</x:f>
        <x:v/>
      </x:c>
    </x:row>
    <x:row r="56" spans="1:9" ht="20.649999999999999">
      <x:c r="A56" s="172"/>
      <x:c r="B56" s="7" t="str">
        <x:f t="array" ref="B56:B56">IFERROR(INDEX(출력범위,SMALL(IF((찾을값=찾을범위),MATCH(ROW(찾을범위),ROW(찾을범위)),""),ROWS($A$1:A55)),COLUMNS($A$1:A55)),"")</x:f>
        <x:v/>
      </x:c>
      <x:c r="C56" s="7" t="str">
        <x:f t="array" ref="C56:C56">IFERROR(INDEX(출력범위,SMALL(IF((찾을값=찾을범위),MATCH(ROW(찾을범위),ROW(찾을범위)),""),ROWS($A$1:B55)),COLUMNS($A$1:B55)),"")</x:f>
        <x:v/>
      </x:c>
      <x:c r="D56" s="7" t="str">
        <x:f t="array" ref="D56:D56">IFERROR(INDEX(출력범위,SMALL(IF((찾을값=찾을범위),MATCH(ROW(찾을범위),ROW(찾을범위)),""),ROWS($A$1:C55)),COLUMNS($A$1:C55)),"")</x:f>
        <x:v/>
      </x:c>
      <x:c r="E56" s="7" t="str">
        <x:f t="array" ref="E56:E56">IFERROR(INDEX(출력범위,SMALL(IF((찾을값=찾을범위),MATCH(ROW(찾을범위),ROW(찾을범위)),""),ROWS($A$1:D55)),COLUMNS($A$1:D55)),"")</x:f>
        <x:v/>
      </x:c>
      <x:c r="F56" s="7" t="str">
        <x:f t="array" ref="F56:F56">IFERROR(INDEX(출력범위,SMALL(IF((찾을값=찾을범위),MATCH(ROW(찾을범위),ROW(찾을범위)),""),ROWS($A$1:E55)),COLUMNS($A$1:E55)),"")</x:f>
        <x:v/>
      </x:c>
      <x:c r="G56" s="12" t="str">
        <x:f t="array" ref="G56:G56">IFERROR(INDEX(출력범위,SMALL(IF((찾을값=찾을범위),MATCH(ROW(찾을범위),ROW(찾을범위)),""),ROWS($A$1:F55)),COLUMNS($A$1:F55)),"")</x:f>
        <x:v/>
      </x:c>
      <x:c r="H56" s="13" t="str">
        <x:f t="array" ref="H56:H56">IFERROR(INDEX(출력범위,SMALL(IF((찾을값=찾을범위),MATCH(ROW(찾을범위),ROW(찾을범위)),""),ROWS($A$1:G55)),COLUMNS($A$1:G55)),"")</x:f>
        <x:v/>
      </x:c>
      <x:c r="I56" s="14" t="str">
        <x:f t="array" ref="I56:I56">IFERROR(INDEX(출력범위,SMALL(IF((찾을값=찾을범위),MATCH(ROW(찾을범위),ROW(찾을범위)),""),ROWS($A$1:H55)),COLUMNS($A$1:H55)),"")</x:f>
        <x:v/>
      </x:c>
    </x:row>
    <x:row r="57" spans="1:9" ht="20.649999999999999">
      <x:c r="A57" s="173"/>
      <x:c r="B57" s="8" t="str">
        <x:f t="array" ref="B57:B57">IFERROR(INDEX(출력범위,SMALL(IF((찾을값=찾을범위),MATCH(ROW(찾을범위),ROW(찾을범위)),""),ROWS($A$1:A56)),COLUMNS($A$1:A56)),"")</x:f>
        <x:v/>
      </x:c>
      <x:c r="C57" s="8" t="str">
        <x:f t="array" ref="C57:C57">IFERROR(INDEX(출력범위,SMALL(IF((찾을값=찾을범위),MATCH(ROW(찾을범위),ROW(찾을범위)),""),ROWS($A$1:B56)),COLUMNS($A$1:B56)),"")</x:f>
        <x:v/>
      </x:c>
      <x:c r="D57" s="8" t="str">
        <x:f t="array" ref="D57:D57">IFERROR(INDEX(출력범위,SMALL(IF((찾을값=찾을범위),MATCH(ROW(찾을범위),ROW(찾을범위)),""),ROWS($A$1:C56)),COLUMNS($A$1:C56)),"")</x:f>
        <x:v/>
      </x:c>
      <x:c r="E57" s="8" t="str">
        <x:f t="array" ref="E57:E57">IFERROR(INDEX(출력범위,SMALL(IF((찾을값=찾을범위),MATCH(ROW(찾을범위),ROW(찾을범위)),""),ROWS($A$1:D56)),COLUMNS($A$1:D56)),"")</x:f>
        <x:v/>
      </x:c>
      <x:c r="F57" s="8" t="str">
        <x:f t="array" ref="F57:F57">IFERROR(INDEX(출력범위,SMALL(IF((찾을값=찾을범위),MATCH(ROW(찾을범위),ROW(찾을범위)),""),ROWS($A$1:E56)),COLUMNS($A$1:E56)),"")</x:f>
        <x:v/>
      </x:c>
      <x:c r="G57" s="9" t="str">
        <x:f t="array" ref="G57:G57">IFERROR(INDEX(출력범위,SMALL(IF((찾을값=찾을범위),MATCH(ROW(찾을범위),ROW(찾을범위)),""),ROWS($A$1:F56)),COLUMNS($A$1:F56)),"")</x:f>
        <x:v/>
      </x:c>
      <x:c r="H57" s="10" t="str">
        <x:f t="array" ref="H57:H57">IFERROR(INDEX(출력범위,SMALL(IF((찾을값=찾을범위),MATCH(ROW(찾을범위),ROW(찾을범위)),""),ROWS($A$1:G56)),COLUMNS($A$1:G56)),"")</x:f>
        <x:v/>
      </x:c>
      <x:c r="I57" s="11" t="str">
        <x:f t="array" ref="I57:I57">IFERROR(INDEX(출력범위,SMALL(IF((찾을값=찾을범위),MATCH(ROW(찾을범위),ROW(찾을범위)),""),ROWS($A$1:H56)),COLUMNS($A$1:H56)),"")</x:f>
        <x:v/>
      </x:c>
    </x:row>
    <x:row r="58" spans="1:9" ht="20.649999999999999">
      <x:c r="A58" s="172"/>
      <x:c r="B58" s="7" t="str">
        <x:f t="array" ref="B58:B58">IFERROR(INDEX(출력범위,SMALL(IF((찾을값=찾을범위),MATCH(ROW(찾을범위),ROW(찾을범위)),""),ROWS($A$1:A57)),COLUMNS($A$1:A57)),"")</x:f>
        <x:v/>
      </x:c>
      <x:c r="C58" s="7" t="str">
        <x:f t="array" ref="C58:C58">IFERROR(INDEX(출력범위,SMALL(IF((찾을값=찾을범위),MATCH(ROW(찾을범위),ROW(찾을범위)),""),ROWS($A$1:B57)),COLUMNS($A$1:B57)),"")</x:f>
        <x:v/>
      </x:c>
      <x:c r="D58" s="7" t="str">
        <x:f t="array" ref="D58:D58">IFERROR(INDEX(출력범위,SMALL(IF((찾을값=찾을범위),MATCH(ROW(찾을범위),ROW(찾을범위)),""),ROWS($A$1:C57)),COLUMNS($A$1:C57)),"")</x:f>
        <x:v/>
      </x:c>
      <x:c r="E58" s="7" t="str">
        <x:f t="array" ref="E58:E58">IFERROR(INDEX(출력범위,SMALL(IF((찾을값=찾을범위),MATCH(ROW(찾을범위),ROW(찾을범위)),""),ROWS($A$1:D57)),COLUMNS($A$1:D57)),"")</x:f>
        <x:v/>
      </x:c>
      <x:c r="F58" s="7" t="str">
        <x:f t="array" ref="F58:F58">IFERROR(INDEX(출력범위,SMALL(IF((찾을값=찾을범위),MATCH(ROW(찾을범위),ROW(찾을범위)),""),ROWS($A$1:E57)),COLUMNS($A$1:E57)),"")</x:f>
        <x:v/>
      </x:c>
      <x:c r="G58" s="12" t="str">
        <x:f t="array" ref="G58:G58">IFERROR(INDEX(출력범위,SMALL(IF((찾을값=찾을범위),MATCH(ROW(찾을범위),ROW(찾을범위)),""),ROWS($A$1:F57)),COLUMNS($A$1:F57)),"")</x:f>
        <x:v/>
      </x:c>
      <x:c r="H58" s="13" t="str">
        <x:f t="array" ref="H58:H58">IFERROR(INDEX(출력범위,SMALL(IF((찾을값=찾을범위),MATCH(ROW(찾을범위),ROW(찾을범위)),""),ROWS($A$1:G57)),COLUMNS($A$1:G57)),"")</x:f>
        <x:v/>
      </x:c>
      <x:c r="I58" s="14" t="str">
        <x:f t="array" ref="I58:I58">IFERROR(INDEX(출력범위,SMALL(IF((찾을값=찾을범위),MATCH(ROW(찾을범위),ROW(찾을범위)),""),ROWS($A$1:H57)),COLUMNS($A$1:H57)),"")</x:f>
        <x:v/>
      </x:c>
    </x:row>
    <x:row r="59" spans="1:9" ht="20.649999999999999">
      <x:c r="A59" s="173"/>
      <x:c r="B59" s="8" t="str">
        <x:f t="array" ref="B59:B59">IFERROR(INDEX(출력범위,SMALL(IF((찾을값=찾을범위),MATCH(ROW(찾을범위),ROW(찾을범위)),""),ROWS($A$1:A58)),COLUMNS($A$1:A58)),"")</x:f>
        <x:v/>
      </x:c>
      <x:c r="C59" s="8" t="str">
        <x:f t="array" ref="C59:C59">IFERROR(INDEX(출력범위,SMALL(IF((찾을값=찾을범위),MATCH(ROW(찾을범위),ROW(찾을범위)),""),ROWS($A$1:B58)),COLUMNS($A$1:B58)),"")</x:f>
        <x:v/>
      </x:c>
      <x:c r="D59" s="8" t="str">
        <x:f t="array" ref="D59:D59">IFERROR(INDEX(출력범위,SMALL(IF((찾을값=찾을범위),MATCH(ROW(찾을범위),ROW(찾을범위)),""),ROWS($A$1:C58)),COLUMNS($A$1:C58)),"")</x:f>
        <x:v/>
      </x:c>
      <x:c r="E59" s="8" t="str">
        <x:f t="array" ref="E59:E59">IFERROR(INDEX(출력범위,SMALL(IF((찾을값=찾을범위),MATCH(ROW(찾을범위),ROW(찾을범위)),""),ROWS($A$1:D58)),COLUMNS($A$1:D58)),"")</x:f>
        <x:v/>
      </x:c>
      <x:c r="F59" s="8" t="str">
        <x:f t="array" ref="F59:F59">IFERROR(INDEX(출력범위,SMALL(IF((찾을값=찾을범위),MATCH(ROW(찾을범위),ROW(찾을범위)),""),ROWS($A$1:E58)),COLUMNS($A$1:E58)),"")</x:f>
        <x:v/>
      </x:c>
      <x:c r="G59" s="9" t="str">
        <x:f t="array" ref="G59:G59">IFERROR(INDEX(출력범위,SMALL(IF((찾을값=찾을범위),MATCH(ROW(찾을범위),ROW(찾을범위)),""),ROWS($A$1:F58)),COLUMNS($A$1:F58)),"")</x:f>
        <x:v/>
      </x:c>
      <x:c r="H59" s="10" t="str">
        <x:f t="array" ref="H59:H59">IFERROR(INDEX(출력범위,SMALL(IF((찾을값=찾을범위),MATCH(ROW(찾을범위),ROW(찾을범위)),""),ROWS($A$1:G58)),COLUMNS($A$1:G58)),"")</x:f>
        <x:v/>
      </x:c>
      <x:c r="I59" s="11" t="str">
        <x:f t="array" ref="I59:I59">IFERROR(INDEX(출력범위,SMALL(IF((찾을값=찾을범위),MATCH(ROW(찾을범위),ROW(찾을범위)),""),ROWS($A$1:H58)),COLUMNS($A$1:H58)),"")</x:f>
        <x:v/>
      </x:c>
    </x:row>
    <x:row r="60" spans="1:9" ht="20.649999999999999">
      <x:c r="A60" s="172"/>
      <x:c r="B60" s="7" t="str">
        <x:f t="array" ref="B60:B60">IFERROR(INDEX(출력범위,SMALL(IF((찾을값=찾을범위),MATCH(ROW(찾을범위),ROW(찾을범위)),""),ROWS($A$1:A59)),COLUMNS($A$1:A59)),"")</x:f>
        <x:v/>
      </x:c>
      <x:c r="C60" s="7" t="str">
        <x:f t="array" ref="C60:C60">IFERROR(INDEX(출력범위,SMALL(IF((찾을값=찾을범위),MATCH(ROW(찾을범위),ROW(찾을범위)),""),ROWS($A$1:B59)),COLUMNS($A$1:B59)),"")</x:f>
        <x:v/>
      </x:c>
      <x:c r="D60" s="7" t="str">
        <x:f t="array" ref="D60:D60">IFERROR(INDEX(출력범위,SMALL(IF((찾을값=찾을범위),MATCH(ROW(찾을범위),ROW(찾을범위)),""),ROWS($A$1:C59)),COLUMNS($A$1:C59)),"")</x:f>
        <x:v/>
      </x:c>
      <x:c r="E60" s="7" t="str">
        <x:f t="array" ref="E60:E60">IFERROR(INDEX(출력범위,SMALL(IF((찾을값=찾을범위),MATCH(ROW(찾을범위),ROW(찾을범위)),""),ROWS($A$1:D59)),COLUMNS($A$1:D59)),"")</x:f>
        <x:v/>
      </x:c>
      <x:c r="F60" s="7" t="str">
        <x:f t="array" ref="F60:F60">IFERROR(INDEX(출력범위,SMALL(IF((찾을값=찾을범위),MATCH(ROW(찾을범위),ROW(찾을범위)),""),ROWS($A$1:E59)),COLUMNS($A$1:E59)),"")</x:f>
        <x:v/>
      </x:c>
      <x:c r="G60" s="12" t="str">
        <x:f t="array" ref="G60:G60">IFERROR(INDEX(출력범위,SMALL(IF((찾을값=찾을범위),MATCH(ROW(찾을범위),ROW(찾을범위)),""),ROWS($A$1:F59)),COLUMNS($A$1:F59)),"")</x:f>
        <x:v/>
      </x:c>
      <x:c r="H60" s="13" t="str">
        <x:f t="array" ref="H60:H60">IFERROR(INDEX(출력범위,SMALL(IF((찾을값=찾을범위),MATCH(ROW(찾을범위),ROW(찾을범위)),""),ROWS($A$1:G59)),COLUMNS($A$1:G59)),"")</x:f>
        <x:v/>
      </x:c>
      <x:c r="I60" s="14" t="str">
        <x:f t="array" ref="I60:I60">IFERROR(INDEX(출력범위,SMALL(IF((찾을값=찾을범위),MATCH(ROW(찾을범위),ROW(찾을범위)),""),ROWS($A$1:H59)),COLUMNS($A$1:H59)),"")</x:f>
        <x:v/>
      </x:c>
    </x:row>
    <x:row r="61" spans="1:9" ht="20.649999999999999">
      <x:c r="A61" s="173"/>
      <x:c r="B61" s="8" t="str">
        <x:f t="array" ref="B61:B61">IFERROR(INDEX(출력범위,SMALL(IF((찾을값=찾을범위),MATCH(ROW(찾을범위),ROW(찾을범위)),""),ROWS($A$1:A60)),COLUMNS($A$1:A60)),"")</x:f>
        <x:v/>
      </x:c>
      <x:c r="C61" s="8" t="str">
        <x:f t="array" ref="C61:C61">IFERROR(INDEX(출력범위,SMALL(IF((찾을값=찾을범위),MATCH(ROW(찾을범위),ROW(찾을범위)),""),ROWS($A$1:B60)),COLUMNS($A$1:B60)),"")</x:f>
        <x:v/>
      </x:c>
      <x:c r="D61" s="8" t="str">
        <x:f t="array" ref="D61:D61">IFERROR(INDEX(출력범위,SMALL(IF((찾을값=찾을범위),MATCH(ROW(찾을범위),ROW(찾을범위)),""),ROWS($A$1:C60)),COLUMNS($A$1:C60)),"")</x:f>
        <x:v/>
      </x:c>
      <x:c r="E61" s="8" t="str">
        <x:f t="array" ref="E61:E61">IFERROR(INDEX(출력범위,SMALL(IF((찾을값=찾을범위),MATCH(ROW(찾을범위),ROW(찾을범위)),""),ROWS($A$1:D60)),COLUMNS($A$1:D60)),"")</x:f>
        <x:v/>
      </x:c>
      <x:c r="F61" s="8" t="str">
        <x:f t="array" ref="F61:F61">IFERROR(INDEX(출력범위,SMALL(IF((찾을값=찾을범위),MATCH(ROW(찾을범위),ROW(찾을범위)),""),ROWS($A$1:E60)),COLUMNS($A$1:E60)),"")</x:f>
        <x:v/>
      </x:c>
      <x:c r="G61" s="9" t="str">
        <x:f t="array" ref="G61:G61">IFERROR(INDEX(출력범위,SMALL(IF((찾을값=찾을범위),MATCH(ROW(찾을범위),ROW(찾을범위)),""),ROWS($A$1:F60)),COLUMNS($A$1:F60)),"")</x:f>
        <x:v/>
      </x:c>
      <x:c r="H61" s="10" t="str">
        <x:f t="array" ref="H61:H61">IFERROR(INDEX(출력범위,SMALL(IF((찾을값=찾을범위),MATCH(ROW(찾을범위),ROW(찾을범위)),""),ROWS($A$1:G60)),COLUMNS($A$1:G60)),"")</x:f>
        <x:v/>
      </x:c>
      <x:c r="I61" s="11" t="str">
        <x:f t="array" ref="I61:I61">IFERROR(INDEX(출력범위,SMALL(IF((찾을값=찾을범위),MATCH(ROW(찾을범위),ROW(찾을범위)),""),ROWS($A$1:H60)),COLUMNS($A$1:H60)),"")</x:f>
        <x:v/>
      </x:c>
    </x:row>
    <x:row r="62" spans="1:9" ht="20.649999999999999">
      <x:c r="A62" s="172"/>
      <x:c r="B62" s="7" t="str">
        <x:f t="array" ref="B62:B62">IFERROR(INDEX(출력범위,SMALL(IF((찾을값=찾을범위),MATCH(ROW(찾을범위),ROW(찾을범위)),""),ROWS($A$1:A61)),COLUMNS($A$1:A61)),"")</x:f>
        <x:v/>
      </x:c>
      <x:c r="C62" s="7" t="str">
        <x:f t="array" ref="C62:C62">IFERROR(INDEX(출력범위,SMALL(IF((찾을값=찾을범위),MATCH(ROW(찾을범위),ROW(찾을범위)),""),ROWS($A$1:B61)),COLUMNS($A$1:B61)),"")</x:f>
        <x:v/>
      </x:c>
      <x:c r="D62" s="7" t="str">
        <x:f t="array" ref="D62:D62">IFERROR(INDEX(출력범위,SMALL(IF((찾을값=찾을범위),MATCH(ROW(찾을범위),ROW(찾을범위)),""),ROWS($A$1:C61)),COLUMNS($A$1:C61)),"")</x:f>
        <x:v/>
      </x:c>
      <x:c r="E62" s="7" t="str">
        <x:f t="array" ref="E62:E62">IFERROR(INDEX(출력범위,SMALL(IF((찾을값=찾을범위),MATCH(ROW(찾을범위),ROW(찾을범위)),""),ROWS($A$1:D61)),COLUMNS($A$1:D61)),"")</x:f>
        <x:v/>
      </x:c>
      <x:c r="F62" s="7" t="str">
        <x:f t="array" ref="F62:F62">IFERROR(INDEX(출력범위,SMALL(IF((찾을값=찾을범위),MATCH(ROW(찾을범위),ROW(찾을범위)),""),ROWS($A$1:E61)),COLUMNS($A$1:E61)),"")</x:f>
        <x:v/>
      </x:c>
      <x:c r="G62" s="12" t="str">
        <x:f t="array" ref="G62:G62">IFERROR(INDEX(출력범위,SMALL(IF((찾을값=찾을범위),MATCH(ROW(찾을범위),ROW(찾을범위)),""),ROWS($A$1:F61)),COLUMNS($A$1:F61)),"")</x:f>
        <x:v/>
      </x:c>
      <x:c r="H62" s="13" t="str">
        <x:f t="array" ref="H62:H62">IFERROR(INDEX(출력범위,SMALL(IF((찾을값=찾을범위),MATCH(ROW(찾을범위),ROW(찾을범위)),""),ROWS($A$1:G61)),COLUMNS($A$1:G61)),"")</x:f>
        <x:v/>
      </x:c>
      <x:c r="I62" s="14" t="str">
        <x:f t="array" ref="I62:I62">IFERROR(INDEX(출력범위,SMALL(IF((찾을값=찾을범위),MATCH(ROW(찾을범위),ROW(찾을범위)),""),ROWS($A$1:H61)),COLUMNS($A$1:H61)),"")</x:f>
        <x:v/>
      </x:c>
    </x:row>
    <x:row r="63" spans="1:9" ht="20.649999999999999">
      <x:c r="A63" s="173"/>
      <x:c r="B63" s="8" t="str">
        <x:f t="array" ref="B63:B63">IFERROR(INDEX(출력범위,SMALL(IF((찾을값=찾을범위),MATCH(ROW(찾을범위),ROW(찾을범위)),""),ROWS($A$1:A62)),COLUMNS($A$1:A62)),"")</x:f>
        <x:v/>
      </x:c>
      <x:c r="C63" s="8" t="str">
        <x:f t="array" ref="C63:C63">IFERROR(INDEX(출력범위,SMALL(IF((찾을값=찾을범위),MATCH(ROW(찾을범위),ROW(찾을범위)),""),ROWS($A$1:B62)),COLUMNS($A$1:B62)),"")</x:f>
        <x:v/>
      </x:c>
      <x:c r="D63" s="8" t="str">
        <x:f t="array" ref="D63:D63">IFERROR(INDEX(출력범위,SMALL(IF((찾을값=찾을범위),MATCH(ROW(찾을범위),ROW(찾을범위)),""),ROWS($A$1:C62)),COLUMNS($A$1:C62)),"")</x:f>
        <x:v/>
      </x:c>
      <x:c r="E63" s="8" t="str">
        <x:f t="array" ref="E63:E63">IFERROR(INDEX(출력범위,SMALL(IF((찾을값=찾을범위),MATCH(ROW(찾을범위),ROW(찾을범위)),""),ROWS($A$1:D62)),COLUMNS($A$1:D62)),"")</x:f>
        <x:v/>
      </x:c>
      <x:c r="F63" s="8" t="str">
        <x:f t="array" ref="F63:F63">IFERROR(INDEX(출력범위,SMALL(IF((찾을값=찾을범위),MATCH(ROW(찾을범위),ROW(찾을범위)),""),ROWS($A$1:E62)),COLUMNS($A$1:E62)),"")</x:f>
        <x:v/>
      </x:c>
      <x:c r="G63" s="9" t="str">
        <x:f t="array" ref="G63:G63">IFERROR(INDEX(출력범위,SMALL(IF((찾을값=찾을범위),MATCH(ROW(찾을범위),ROW(찾을범위)),""),ROWS($A$1:F62)),COLUMNS($A$1:F62)),"")</x:f>
        <x:v/>
      </x:c>
      <x:c r="H63" s="10" t="str">
        <x:f t="array" ref="H63:H63">IFERROR(INDEX(출력범위,SMALL(IF((찾을값=찾을범위),MATCH(ROW(찾을범위),ROW(찾을범위)),""),ROWS($A$1:G62)),COLUMNS($A$1:G62)),"")</x:f>
        <x:v/>
      </x:c>
      <x:c r="I63" s="11" t="str">
        <x:f t="array" ref="I63:I63">IFERROR(INDEX(출력범위,SMALL(IF((찾을값=찾을범위),MATCH(ROW(찾을범위),ROW(찾을범위)),""),ROWS($A$1:H62)),COLUMNS($A$1:H62)),"")</x:f>
        <x:v/>
      </x:c>
    </x:row>
    <x:row r="64" spans="1:9" ht="20.649999999999999">
      <x:c r="A64" s="172"/>
      <x:c r="B64" s="7" t="str">
        <x:f t="array" ref="B64:B64">IFERROR(INDEX(출력범위,SMALL(IF((찾을값=찾을범위),MATCH(ROW(찾을범위),ROW(찾을범위)),""),ROWS($A$1:A63)),COLUMNS($A$1:A63)),"")</x:f>
        <x:v/>
      </x:c>
      <x:c r="C64" s="7" t="str">
        <x:f t="array" ref="C64:C64">IFERROR(INDEX(출력범위,SMALL(IF((찾을값=찾을범위),MATCH(ROW(찾을범위),ROW(찾을범위)),""),ROWS($A$1:B63)),COLUMNS($A$1:B63)),"")</x:f>
        <x:v/>
      </x:c>
      <x:c r="D64" s="7" t="str">
        <x:f t="array" ref="D64:D64">IFERROR(INDEX(출력범위,SMALL(IF((찾을값=찾을범위),MATCH(ROW(찾을범위),ROW(찾을범위)),""),ROWS($A$1:C63)),COLUMNS($A$1:C63)),"")</x:f>
        <x:v/>
      </x:c>
      <x:c r="E64" s="7" t="str">
        <x:f t="array" ref="E64:E64">IFERROR(INDEX(출력범위,SMALL(IF((찾을값=찾을범위),MATCH(ROW(찾을범위),ROW(찾을범위)),""),ROWS($A$1:D63)),COLUMNS($A$1:D63)),"")</x:f>
        <x:v/>
      </x:c>
      <x:c r="F64" s="7" t="str">
        <x:f t="array" ref="F64:F64">IFERROR(INDEX(출력범위,SMALL(IF((찾을값=찾을범위),MATCH(ROW(찾을범위),ROW(찾을범위)),""),ROWS($A$1:E63)),COLUMNS($A$1:E63)),"")</x:f>
        <x:v/>
      </x:c>
      <x:c r="G64" s="12" t="str">
        <x:f t="array" ref="G64:G64">IFERROR(INDEX(출력범위,SMALL(IF((찾을값=찾을범위),MATCH(ROW(찾을범위),ROW(찾을범위)),""),ROWS($A$1:F63)),COLUMNS($A$1:F63)),"")</x:f>
        <x:v/>
      </x:c>
      <x:c r="H64" s="13" t="str">
        <x:f t="array" ref="H64:H64">IFERROR(INDEX(출력범위,SMALL(IF((찾을값=찾을범위),MATCH(ROW(찾을범위),ROW(찾을범위)),""),ROWS($A$1:G63)),COLUMNS($A$1:G63)),"")</x:f>
        <x:v/>
      </x:c>
      <x:c r="I64" s="14" t="str">
        <x:f t="array" ref="I64:I64">IFERROR(INDEX(출력범위,SMALL(IF((찾을값=찾을범위),MATCH(ROW(찾을범위),ROW(찾을범위)),""),ROWS($A$1:H63)),COLUMNS($A$1:H63)),"")</x:f>
        <x:v/>
      </x:c>
    </x:row>
    <x:row r="65" spans="1:9" ht="20.649999999999999">
      <x:c r="A65" s="173"/>
      <x:c r="B65" s="8" t="str">
        <x:f t="array" ref="B65:B65">IFERROR(INDEX(출력범위,SMALL(IF((찾을값=찾을범위),MATCH(ROW(찾을범위),ROW(찾을범위)),""),ROWS($A$1:A64)),COLUMNS($A$1:A64)),"")</x:f>
        <x:v/>
      </x:c>
      <x:c r="C65" s="8" t="str">
        <x:f t="array" ref="C65:C65">IFERROR(INDEX(출력범위,SMALL(IF((찾을값=찾을범위),MATCH(ROW(찾을범위),ROW(찾을범위)),""),ROWS($A$1:B64)),COLUMNS($A$1:B64)),"")</x:f>
        <x:v/>
      </x:c>
      <x:c r="D65" s="8" t="str">
        <x:f t="array" ref="D65:D65">IFERROR(INDEX(출력범위,SMALL(IF((찾을값=찾을범위),MATCH(ROW(찾을범위),ROW(찾을범위)),""),ROWS($A$1:C64)),COLUMNS($A$1:C64)),"")</x:f>
        <x:v/>
      </x:c>
      <x:c r="E65" s="8" t="str">
        <x:f t="array" ref="E65:E65">IFERROR(INDEX(출력범위,SMALL(IF((찾을값=찾을범위),MATCH(ROW(찾을범위),ROW(찾을범위)),""),ROWS($A$1:D64)),COLUMNS($A$1:D64)),"")</x:f>
        <x:v/>
      </x:c>
      <x:c r="F65" s="8" t="str">
        <x:f t="array" ref="F65:F65">IFERROR(INDEX(출력범위,SMALL(IF((찾을값=찾을범위),MATCH(ROW(찾을범위),ROW(찾을범위)),""),ROWS($A$1:E64)),COLUMNS($A$1:E64)),"")</x:f>
        <x:v/>
      </x:c>
      <x:c r="G65" s="9" t="str">
        <x:f t="array" ref="G65:G65">IFERROR(INDEX(출력범위,SMALL(IF((찾을값=찾을범위),MATCH(ROW(찾을범위),ROW(찾을범위)),""),ROWS($A$1:F64)),COLUMNS($A$1:F64)),"")</x:f>
        <x:v/>
      </x:c>
      <x:c r="H65" s="10" t="str">
        <x:f t="array" ref="H65:H65">IFERROR(INDEX(출력범위,SMALL(IF((찾을값=찾을범위),MATCH(ROW(찾을범위),ROW(찾을범위)),""),ROWS($A$1:G64)),COLUMNS($A$1:G64)),"")</x:f>
        <x:v/>
      </x:c>
      <x:c r="I65" s="11" t="str">
        <x:f t="array" ref="I65:I65">IFERROR(INDEX(출력범위,SMALL(IF((찾을값=찾을범위),MATCH(ROW(찾을범위),ROW(찾을범위)),""),ROWS($A$1:H64)),COLUMNS($A$1:H64)),"")</x:f>
        <x:v/>
      </x:c>
    </x:row>
    <x:row r="66" spans="1:9" ht="20.649999999999999">
      <x:c r="A66" s="172"/>
      <x:c r="B66" s="7" t="str">
        <x:f t="array" ref="B66:B66">IFERROR(INDEX(출력범위,SMALL(IF((찾을값=찾을범위),MATCH(ROW(찾을범위),ROW(찾을범위)),""),ROWS($A$1:A65)),COLUMNS($A$1:A65)),"")</x:f>
        <x:v/>
      </x:c>
      <x:c r="C66" s="7" t="str">
        <x:f t="array" ref="C66:C66">IFERROR(INDEX(출력범위,SMALL(IF((찾을값=찾을범위),MATCH(ROW(찾을범위),ROW(찾을범위)),""),ROWS($A$1:B65)),COLUMNS($A$1:B65)),"")</x:f>
        <x:v/>
      </x:c>
      <x:c r="D66" s="7" t="str">
        <x:f t="array" ref="D66:D66">IFERROR(INDEX(출력범위,SMALL(IF((찾을값=찾을범위),MATCH(ROW(찾을범위),ROW(찾을범위)),""),ROWS($A$1:C65)),COLUMNS($A$1:C65)),"")</x:f>
        <x:v/>
      </x:c>
      <x:c r="E66" s="7" t="str">
        <x:f t="array" ref="E66:E66">IFERROR(INDEX(출력범위,SMALL(IF((찾을값=찾을범위),MATCH(ROW(찾을범위),ROW(찾을범위)),""),ROWS($A$1:D65)),COLUMNS($A$1:D65)),"")</x:f>
        <x:v/>
      </x:c>
      <x:c r="F66" s="7" t="str">
        <x:f t="array" ref="F66:F66">IFERROR(INDEX(출력범위,SMALL(IF((찾을값=찾을범위),MATCH(ROW(찾을범위),ROW(찾을범위)),""),ROWS($A$1:E65)),COLUMNS($A$1:E65)),"")</x:f>
        <x:v/>
      </x:c>
      <x:c r="G66" s="12" t="str">
        <x:f t="array" ref="G66:G66">IFERROR(INDEX(출력범위,SMALL(IF((찾을값=찾을범위),MATCH(ROW(찾을범위),ROW(찾을범위)),""),ROWS($A$1:F65)),COLUMNS($A$1:F65)),"")</x:f>
        <x:v/>
      </x:c>
      <x:c r="H66" s="13" t="str">
        <x:f t="array" ref="H66:H66">IFERROR(INDEX(출력범위,SMALL(IF((찾을값=찾을범위),MATCH(ROW(찾을범위),ROW(찾을범위)),""),ROWS($A$1:G65)),COLUMNS($A$1:G65)),"")</x:f>
        <x:v/>
      </x:c>
      <x:c r="I66" s="14" t="str">
        <x:f t="array" ref="I66:I66">IFERROR(INDEX(출력범위,SMALL(IF((찾을값=찾을범위),MATCH(ROW(찾을범위),ROW(찾을범위)),""),ROWS($A$1:H65)),COLUMNS($A$1:H65)),"")</x:f>
        <x:v/>
      </x:c>
    </x:row>
    <x:row r="67" spans="1:9" ht="20.649999999999999">
      <x:c r="A67" s="173"/>
      <x:c r="B67" s="8" t="str">
        <x:f t="array" ref="B67:B67">IFERROR(INDEX(출력범위,SMALL(IF((찾을값=찾을범위),MATCH(ROW(찾을범위),ROW(찾을범위)),""),ROWS($A$1:A66)),COLUMNS($A$1:A66)),"")</x:f>
        <x:v/>
      </x:c>
      <x:c r="C67" s="8" t="str">
        <x:f t="array" ref="C67:C67">IFERROR(INDEX(출력범위,SMALL(IF((찾을값=찾을범위),MATCH(ROW(찾을범위),ROW(찾을범위)),""),ROWS($A$1:B66)),COLUMNS($A$1:B66)),"")</x:f>
        <x:v/>
      </x:c>
      <x:c r="D67" s="8" t="str">
        <x:f t="array" ref="D67:D67">IFERROR(INDEX(출력범위,SMALL(IF((찾을값=찾을범위),MATCH(ROW(찾을범위),ROW(찾을범위)),""),ROWS($A$1:C66)),COLUMNS($A$1:C66)),"")</x:f>
        <x:v/>
      </x:c>
      <x:c r="E67" s="8" t="str">
        <x:f t="array" ref="E67:E67">IFERROR(INDEX(출력범위,SMALL(IF((찾을값=찾을범위),MATCH(ROW(찾을범위),ROW(찾을범위)),""),ROWS($A$1:D66)),COLUMNS($A$1:D66)),"")</x:f>
        <x:v/>
      </x:c>
      <x:c r="F67" s="8" t="str">
        <x:f t="array" ref="F67:F67">IFERROR(INDEX(출력범위,SMALL(IF((찾을값=찾을범위),MATCH(ROW(찾을범위),ROW(찾을범위)),""),ROWS($A$1:E66)),COLUMNS($A$1:E66)),"")</x:f>
        <x:v/>
      </x:c>
      <x:c r="G67" s="9" t="str">
        <x:f t="array" ref="G67:G67">IFERROR(INDEX(출력범위,SMALL(IF((찾을값=찾을범위),MATCH(ROW(찾을범위),ROW(찾을범위)),""),ROWS($A$1:F66)),COLUMNS($A$1:F66)),"")</x:f>
        <x:v/>
      </x:c>
      <x:c r="H67" s="10" t="str">
        <x:f t="array" ref="H67:H67">IFERROR(INDEX(출력범위,SMALL(IF((찾을값=찾을범위),MATCH(ROW(찾을범위),ROW(찾을범위)),""),ROWS($A$1:G66)),COLUMNS($A$1:G66)),"")</x:f>
        <x:v/>
      </x:c>
      <x:c r="I67" s="11" t="str">
        <x:f t="array" ref="I67:I67">IFERROR(INDEX(출력범위,SMALL(IF((찾을값=찾을범위),MATCH(ROW(찾을범위),ROW(찾을범위)),""),ROWS($A$1:H66)),COLUMNS($A$1:H66)),"")</x:f>
        <x:v/>
      </x:c>
    </x:row>
    <x:row r="68" spans="1:9" ht="20.649999999999999">
      <x:c r="A68" s="172"/>
      <x:c r="B68" s="7" t="str">
        <x:f t="array" ref="B68:B68">IFERROR(INDEX(출력범위,SMALL(IF((찾을값=찾을범위),MATCH(ROW(찾을범위),ROW(찾을범위)),""),ROWS($A$1:A67)),COLUMNS($A$1:A67)),"")</x:f>
        <x:v/>
      </x:c>
      <x:c r="C68" s="7" t="str">
        <x:f t="array" ref="C68:C68">IFERROR(INDEX(출력범위,SMALL(IF((찾을값=찾을범위),MATCH(ROW(찾을범위),ROW(찾을범위)),""),ROWS($A$1:B67)),COLUMNS($A$1:B67)),"")</x:f>
        <x:v/>
      </x:c>
      <x:c r="D68" s="7" t="str">
        <x:f t="array" ref="D68:D68">IFERROR(INDEX(출력범위,SMALL(IF((찾을값=찾을범위),MATCH(ROW(찾을범위),ROW(찾을범위)),""),ROWS($A$1:C67)),COLUMNS($A$1:C67)),"")</x:f>
        <x:v/>
      </x:c>
      <x:c r="E68" s="7" t="str">
        <x:f t="array" ref="E68:E68">IFERROR(INDEX(출력범위,SMALL(IF((찾을값=찾을범위),MATCH(ROW(찾을범위),ROW(찾을범위)),""),ROWS($A$1:D67)),COLUMNS($A$1:D67)),"")</x:f>
        <x:v/>
      </x:c>
      <x:c r="F68" s="7" t="str">
        <x:f t="array" ref="F68:F68">IFERROR(INDEX(출력범위,SMALL(IF((찾을값=찾을범위),MATCH(ROW(찾을범위),ROW(찾을범위)),""),ROWS($A$1:E67)),COLUMNS($A$1:E67)),"")</x:f>
        <x:v/>
      </x:c>
      <x:c r="G68" s="12" t="str">
        <x:f t="array" ref="G68:G68">IFERROR(INDEX(출력범위,SMALL(IF((찾을값=찾을범위),MATCH(ROW(찾을범위),ROW(찾을범위)),""),ROWS($A$1:F67)),COLUMNS($A$1:F67)),"")</x:f>
        <x:v/>
      </x:c>
      <x:c r="H68" s="13" t="str">
        <x:f t="array" ref="H68:H68">IFERROR(INDEX(출력범위,SMALL(IF((찾을값=찾을범위),MATCH(ROW(찾을범위),ROW(찾을범위)),""),ROWS($A$1:G67)),COLUMNS($A$1:G67)),"")</x:f>
        <x:v/>
      </x:c>
      <x:c r="I68" s="14" t="str">
        <x:f t="array" ref="I68:I68">IFERROR(INDEX(출력범위,SMALL(IF((찾을값=찾을범위),MATCH(ROW(찾을범위),ROW(찾을범위)),""),ROWS($A$1:H67)),COLUMNS($A$1:H67)),"")</x:f>
        <x:v/>
      </x:c>
    </x:row>
    <x:row r="69" spans="1:9" ht="20.649999999999999">
      <x:c r="A69" s="173"/>
      <x:c r="B69" s="8" t="str">
        <x:f t="array" ref="B69:B69">IFERROR(INDEX(출력범위,SMALL(IF((찾을값=찾을범위),MATCH(ROW(찾을범위),ROW(찾을범위)),""),ROWS($A$1:A68)),COLUMNS($A$1:A68)),"")</x:f>
        <x:v/>
      </x:c>
      <x:c r="C69" s="8" t="str">
        <x:f t="array" ref="C69:C69">IFERROR(INDEX(출력범위,SMALL(IF((찾을값=찾을범위),MATCH(ROW(찾을범위),ROW(찾을범위)),""),ROWS($A$1:B68)),COLUMNS($A$1:B68)),"")</x:f>
        <x:v/>
      </x:c>
      <x:c r="D69" s="8" t="str">
        <x:f t="array" ref="D69:D69">IFERROR(INDEX(출력범위,SMALL(IF((찾을값=찾을범위),MATCH(ROW(찾을범위),ROW(찾을범위)),""),ROWS($A$1:C68)),COLUMNS($A$1:C68)),"")</x:f>
        <x:v/>
      </x:c>
      <x:c r="E69" s="8" t="str">
        <x:f t="array" ref="E69:E69">IFERROR(INDEX(출력범위,SMALL(IF((찾을값=찾을범위),MATCH(ROW(찾을범위),ROW(찾을범위)),""),ROWS($A$1:D68)),COLUMNS($A$1:D68)),"")</x:f>
        <x:v/>
      </x:c>
      <x:c r="F69" s="8" t="str">
        <x:f t="array" ref="F69:F69">IFERROR(INDEX(출력범위,SMALL(IF((찾을값=찾을범위),MATCH(ROW(찾을범위),ROW(찾을범위)),""),ROWS($A$1:E68)),COLUMNS($A$1:E68)),"")</x:f>
        <x:v/>
      </x:c>
      <x:c r="G69" s="9" t="str">
        <x:f t="array" ref="G69:G69">IFERROR(INDEX(출력범위,SMALL(IF((찾을값=찾을범위),MATCH(ROW(찾을범위),ROW(찾을범위)),""),ROWS($A$1:F68)),COLUMNS($A$1:F68)),"")</x:f>
        <x:v/>
      </x:c>
      <x:c r="H69" s="10" t="str">
        <x:f t="array" ref="H69:H69">IFERROR(INDEX(출력범위,SMALL(IF((찾을값=찾을범위),MATCH(ROW(찾을범위),ROW(찾을범위)),""),ROWS($A$1:G68)),COLUMNS($A$1:G68)),"")</x:f>
        <x:v/>
      </x:c>
      <x:c r="I69" s="11" t="str">
        <x:f t="array" ref="I69:I69">IFERROR(INDEX(출력범위,SMALL(IF((찾을값=찾을범위),MATCH(ROW(찾을범위),ROW(찾을범위)),""),ROWS($A$1:H68)),COLUMNS($A$1:H68)),"")</x:f>
        <x:v/>
      </x:c>
    </x:row>
    <x:row r="70" spans="1:9" ht="20.649999999999999">
      <x:c r="A70" s="172"/>
      <x:c r="B70" s="7" t="str">
        <x:f t="array" ref="B70:B70">IFERROR(INDEX(출력범위,SMALL(IF((찾을값=찾을범위),MATCH(ROW(찾을범위),ROW(찾을범위)),""),ROWS($A$1:A69)),COLUMNS($A$1:A69)),"")</x:f>
        <x:v/>
      </x:c>
      <x:c r="C70" s="7" t="str">
        <x:f t="array" ref="C70:C70">IFERROR(INDEX(출력범위,SMALL(IF((찾을값=찾을범위),MATCH(ROW(찾을범위),ROW(찾을범위)),""),ROWS($A$1:B69)),COLUMNS($A$1:B69)),"")</x:f>
        <x:v/>
      </x:c>
      <x:c r="D70" s="7" t="str">
        <x:f t="array" ref="D70:D70">IFERROR(INDEX(출력범위,SMALL(IF((찾을값=찾을범위),MATCH(ROW(찾을범위),ROW(찾을범위)),""),ROWS($A$1:C69)),COLUMNS($A$1:C69)),"")</x:f>
        <x:v/>
      </x:c>
      <x:c r="E70" s="7" t="str">
        <x:f t="array" ref="E70:E70">IFERROR(INDEX(출력범위,SMALL(IF((찾을값=찾을범위),MATCH(ROW(찾을범위),ROW(찾을범위)),""),ROWS($A$1:D69)),COLUMNS($A$1:D69)),"")</x:f>
        <x:v/>
      </x:c>
      <x:c r="F70" s="7" t="str">
        <x:f t="array" ref="F70:F70">IFERROR(INDEX(출력범위,SMALL(IF((찾을값=찾을범위),MATCH(ROW(찾을범위),ROW(찾을범위)),""),ROWS($A$1:E69)),COLUMNS($A$1:E69)),"")</x:f>
        <x:v/>
      </x:c>
      <x:c r="G70" s="12" t="str">
        <x:f t="array" ref="G70:G70">IFERROR(INDEX(출력범위,SMALL(IF((찾을값=찾을범위),MATCH(ROW(찾을범위),ROW(찾을범위)),""),ROWS($A$1:F69)),COLUMNS($A$1:F69)),"")</x:f>
        <x:v/>
      </x:c>
      <x:c r="H70" s="13" t="str">
        <x:f t="array" ref="H70:H70">IFERROR(INDEX(출력범위,SMALL(IF((찾을값=찾을범위),MATCH(ROW(찾을범위),ROW(찾을범위)),""),ROWS($A$1:G69)),COLUMNS($A$1:G69)),"")</x:f>
        <x:v/>
      </x:c>
      <x:c r="I70" s="14" t="str">
        <x:f t="array" ref="I70:I70">IFERROR(INDEX(출력범위,SMALL(IF((찾을값=찾을범위),MATCH(ROW(찾을범위),ROW(찾을범위)),""),ROWS($A$1:H69)),COLUMNS($A$1:H69)),"")</x:f>
        <x:v/>
      </x:c>
    </x:row>
    <x:row r="71" spans="1:9" ht="20.649999999999999">
      <x:c r="A71" s="173"/>
      <x:c r="B71" s="8" t="str">
        <x:f t="array" ref="B71:B71">IFERROR(INDEX(출력범위,SMALL(IF((찾을값=찾을범위),MATCH(ROW(찾을범위),ROW(찾을범위)),""),ROWS($A$1:A70)),COLUMNS($A$1:A70)),"")</x:f>
        <x:v/>
      </x:c>
      <x:c r="C71" s="8" t="str">
        <x:f t="array" ref="C71:C71">IFERROR(INDEX(출력범위,SMALL(IF((찾을값=찾을범위),MATCH(ROW(찾을범위),ROW(찾을범위)),""),ROWS($A$1:B70)),COLUMNS($A$1:B70)),"")</x:f>
        <x:v/>
      </x:c>
      <x:c r="D71" s="8" t="str">
        <x:f t="array" ref="D71:D71">IFERROR(INDEX(출력범위,SMALL(IF((찾을값=찾을범위),MATCH(ROW(찾을범위),ROW(찾을범위)),""),ROWS($A$1:C70)),COLUMNS($A$1:C70)),"")</x:f>
        <x:v/>
      </x:c>
      <x:c r="E71" s="8" t="str">
        <x:f t="array" ref="E71:E71">IFERROR(INDEX(출력범위,SMALL(IF((찾을값=찾을범위),MATCH(ROW(찾을범위),ROW(찾을범위)),""),ROWS($A$1:D70)),COLUMNS($A$1:D70)),"")</x:f>
        <x:v/>
      </x:c>
      <x:c r="F71" s="8" t="str">
        <x:f t="array" ref="F71:F71">IFERROR(INDEX(출력범위,SMALL(IF((찾을값=찾을범위),MATCH(ROW(찾을범위),ROW(찾을범위)),""),ROWS($A$1:E70)),COLUMNS($A$1:E70)),"")</x:f>
        <x:v/>
      </x:c>
      <x:c r="G71" s="9" t="str">
        <x:f t="array" ref="G71:G71">IFERROR(INDEX(출력범위,SMALL(IF((찾을값=찾을범위),MATCH(ROW(찾을범위),ROW(찾을범위)),""),ROWS($A$1:F70)),COLUMNS($A$1:F70)),"")</x:f>
        <x:v/>
      </x:c>
      <x:c r="H71" s="10" t="str">
        <x:f t="array" ref="H71:H71">IFERROR(INDEX(출력범위,SMALL(IF((찾을값=찾을범위),MATCH(ROW(찾을범위),ROW(찾을범위)),""),ROWS($A$1:G70)),COLUMNS($A$1:G70)),"")</x:f>
        <x:v/>
      </x:c>
      <x:c r="I71" s="11" t="str">
        <x:f t="array" ref="I71:I71">IFERROR(INDEX(출력범위,SMALL(IF((찾을값=찾을범위),MATCH(ROW(찾을범위),ROW(찾을범위)),""),ROWS($A$1:H70)),COLUMNS($A$1:H70)),"")</x:f>
        <x:v/>
      </x:c>
    </x:row>
    <x:row r="72" spans="1:9" ht="20.649999999999999">
      <x:c r="A72" s="172"/>
      <x:c r="B72" s="7" t="str">
        <x:f t="array" ref="B72:B72">IFERROR(INDEX(출력범위,SMALL(IF((찾을값=찾을범위),MATCH(ROW(찾을범위),ROW(찾을범위)),""),ROWS($A$1:A71)),COLUMNS($A$1:A71)),"")</x:f>
        <x:v/>
      </x:c>
      <x:c r="C72" s="7" t="str">
        <x:f t="array" ref="C72:C72">IFERROR(INDEX(출력범위,SMALL(IF((찾을값=찾을범위),MATCH(ROW(찾을범위),ROW(찾을범위)),""),ROWS($A$1:B71)),COLUMNS($A$1:B71)),"")</x:f>
        <x:v/>
      </x:c>
      <x:c r="D72" s="7" t="str">
        <x:f t="array" ref="D72:D72">IFERROR(INDEX(출력범위,SMALL(IF((찾을값=찾을범위),MATCH(ROW(찾을범위),ROW(찾을범위)),""),ROWS($A$1:C71)),COLUMNS($A$1:C71)),"")</x:f>
        <x:v/>
      </x:c>
      <x:c r="E72" s="7" t="str">
        <x:f t="array" ref="E72:E72">IFERROR(INDEX(출력범위,SMALL(IF((찾을값=찾을범위),MATCH(ROW(찾을범위),ROW(찾을범위)),""),ROWS($A$1:D71)),COLUMNS($A$1:D71)),"")</x:f>
        <x:v/>
      </x:c>
      <x:c r="F72" s="7" t="str">
        <x:f t="array" ref="F72:F72">IFERROR(INDEX(출력범위,SMALL(IF((찾을값=찾을범위),MATCH(ROW(찾을범위),ROW(찾을범위)),""),ROWS($A$1:E71)),COLUMNS($A$1:E71)),"")</x:f>
        <x:v/>
      </x:c>
      <x:c r="G72" s="12" t="str">
        <x:f t="array" ref="G72:G72">IFERROR(INDEX(출력범위,SMALL(IF((찾을값=찾을범위),MATCH(ROW(찾을범위),ROW(찾을범위)),""),ROWS($A$1:F71)),COLUMNS($A$1:F71)),"")</x:f>
        <x:v/>
      </x:c>
      <x:c r="H72" s="13" t="str">
        <x:f t="array" ref="H72:H72">IFERROR(INDEX(출력범위,SMALL(IF((찾을값=찾을범위),MATCH(ROW(찾을범위),ROW(찾을범위)),""),ROWS($A$1:G71)),COLUMNS($A$1:G71)),"")</x:f>
        <x:v/>
      </x:c>
      <x:c r="I72" s="14" t="str">
        <x:f t="array" ref="I72:I72">IFERROR(INDEX(출력범위,SMALL(IF((찾을값=찾을범위),MATCH(ROW(찾을범위),ROW(찾을범위)),""),ROWS($A$1:H71)),COLUMNS($A$1:H71)),"")</x:f>
        <x:v/>
      </x:c>
    </x:row>
    <x:row r="73" spans="1:9" ht="20.649999999999999">
      <x:c r="A73" s="173"/>
      <x:c r="B73" s="8" t="str">
        <x:f t="array" ref="B73:B73">IFERROR(INDEX(출력범위,SMALL(IF((찾을값=찾을범위),MATCH(ROW(찾을범위),ROW(찾을범위)),""),ROWS($A$1:A72)),COLUMNS($A$1:A72)),"")</x:f>
        <x:v/>
      </x:c>
      <x:c r="C73" s="8" t="str">
        <x:f t="array" ref="C73:C73">IFERROR(INDEX(출력범위,SMALL(IF((찾을값=찾을범위),MATCH(ROW(찾을범위),ROW(찾을범위)),""),ROWS($A$1:B72)),COLUMNS($A$1:B72)),"")</x:f>
        <x:v/>
      </x:c>
      <x:c r="D73" s="8" t="str">
        <x:f t="array" ref="D73:D73">IFERROR(INDEX(출력범위,SMALL(IF((찾을값=찾을범위),MATCH(ROW(찾을범위),ROW(찾을범위)),""),ROWS($A$1:C72)),COLUMNS($A$1:C72)),"")</x:f>
        <x:v/>
      </x:c>
      <x:c r="E73" s="8" t="str">
        <x:f t="array" ref="E73:E73">IFERROR(INDEX(출력범위,SMALL(IF((찾을값=찾을범위),MATCH(ROW(찾을범위),ROW(찾을범위)),""),ROWS($A$1:D72)),COLUMNS($A$1:D72)),"")</x:f>
        <x:v/>
      </x:c>
      <x:c r="F73" s="8" t="str">
        <x:f t="array" ref="F73:F73">IFERROR(INDEX(출력범위,SMALL(IF((찾을값=찾을범위),MATCH(ROW(찾을범위),ROW(찾을범위)),""),ROWS($A$1:E72)),COLUMNS($A$1:E72)),"")</x:f>
        <x:v/>
      </x:c>
      <x:c r="G73" s="9" t="str">
        <x:f t="array" ref="G73:G73">IFERROR(INDEX(출력범위,SMALL(IF((찾을값=찾을범위),MATCH(ROW(찾을범위),ROW(찾을범위)),""),ROWS($A$1:F72)),COLUMNS($A$1:F72)),"")</x:f>
        <x:v/>
      </x:c>
      <x:c r="H73" s="10" t="str">
        <x:f t="array" ref="H73:H73">IFERROR(INDEX(출력범위,SMALL(IF((찾을값=찾을범위),MATCH(ROW(찾을범위),ROW(찾을범위)),""),ROWS($A$1:G72)),COLUMNS($A$1:G72)),"")</x:f>
        <x:v/>
      </x:c>
      <x:c r="I73" s="11" t="str">
        <x:f t="array" ref="I73:I73">IFERROR(INDEX(출력범위,SMALL(IF((찾을값=찾을범위),MATCH(ROW(찾을범위),ROW(찾을범위)),""),ROWS($A$1:H72)),COLUMNS($A$1:H72)),"")</x:f>
        <x:v/>
      </x:c>
    </x:row>
    <x:row r="74" spans="1:9" ht="20.649999999999999">
      <x:c r="A74" s="172"/>
      <x:c r="B74" s="7" t="str">
        <x:f t="array" ref="B74:B74">IFERROR(INDEX(출력범위,SMALL(IF((찾을값=찾을범위),MATCH(ROW(찾을범위),ROW(찾을범위)),""),ROWS($A$1:A73)),COLUMNS($A$1:A73)),"")</x:f>
        <x:v/>
      </x:c>
      <x:c r="C74" s="7" t="str">
        <x:f t="array" ref="C74:C74">IFERROR(INDEX(출력범위,SMALL(IF((찾을값=찾을범위),MATCH(ROW(찾을범위),ROW(찾을범위)),""),ROWS($A$1:B73)),COLUMNS($A$1:B73)),"")</x:f>
        <x:v/>
      </x:c>
      <x:c r="D74" s="7" t="str">
        <x:f t="array" ref="D74:D74">IFERROR(INDEX(출력범위,SMALL(IF((찾을값=찾을범위),MATCH(ROW(찾을범위),ROW(찾을범위)),""),ROWS($A$1:C73)),COLUMNS($A$1:C73)),"")</x:f>
        <x:v/>
      </x:c>
      <x:c r="E74" s="7" t="str">
        <x:f t="array" ref="E74:E74">IFERROR(INDEX(출력범위,SMALL(IF((찾을값=찾을범위),MATCH(ROW(찾을범위),ROW(찾을범위)),""),ROWS($A$1:D73)),COLUMNS($A$1:D73)),"")</x:f>
        <x:v/>
      </x:c>
      <x:c r="F74" s="7" t="str">
        <x:f t="array" ref="F74:F74">IFERROR(INDEX(출력범위,SMALL(IF((찾을값=찾을범위),MATCH(ROW(찾을범위),ROW(찾을범위)),""),ROWS($A$1:E73)),COLUMNS($A$1:E73)),"")</x:f>
        <x:v/>
      </x:c>
      <x:c r="G74" s="12" t="str">
        <x:f t="array" ref="G74:G74">IFERROR(INDEX(출력범위,SMALL(IF((찾을값=찾을범위),MATCH(ROW(찾을범위),ROW(찾을범위)),""),ROWS($A$1:F73)),COLUMNS($A$1:F73)),"")</x:f>
        <x:v/>
      </x:c>
      <x:c r="H74" s="13" t="str">
        <x:f t="array" ref="H74:H74">IFERROR(INDEX(출력범위,SMALL(IF((찾을값=찾을범위),MATCH(ROW(찾을범위),ROW(찾을범위)),""),ROWS($A$1:G73)),COLUMNS($A$1:G73)),"")</x:f>
        <x:v/>
      </x:c>
      <x:c r="I74" s="14" t="str">
        <x:f t="array" ref="I74:I74">IFERROR(INDEX(출력범위,SMALL(IF((찾을값=찾을범위),MATCH(ROW(찾을범위),ROW(찾을범위)),""),ROWS($A$1:H73)),COLUMNS($A$1:H73)),"")</x:f>
        <x:v/>
      </x:c>
    </x:row>
    <x:row r="75" spans="1:9" ht="20.649999999999999">
      <x:c r="A75" s="173"/>
      <x:c r="B75" s="8" t="str">
        <x:f t="array" ref="B75:B75">IFERROR(INDEX(출력범위,SMALL(IF((찾을값=찾을범위),MATCH(ROW(찾을범위),ROW(찾을범위)),""),ROWS($A$1:A74)),COLUMNS($A$1:A74)),"")</x:f>
        <x:v/>
      </x:c>
      <x:c r="C75" s="8" t="str">
        <x:f t="array" ref="C75:C75">IFERROR(INDEX(출력범위,SMALL(IF((찾을값=찾을범위),MATCH(ROW(찾을범위),ROW(찾을범위)),""),ROWS($A$1:B74)),COLUMNS($A$1:B74)),"")</x:f>
        <x:v/>
      </x:c>
      <x:c r="D75" s="8" t="str">
        <x:f t="array" ref="D75:D75">IFERROR(INDEX(출력범위,SMALL(IF((찾을값=찾을범위),MATCH(ROW(찾을범위),ROW(찾을범위)),""),ROWS($A$1:C74)),COLUMNS($A$1:C74)),"")</x:f>
        <x:v/>
      </x:c>
      <x:c r="E75" s="8" t="str">
        <x:f t="array" ref="E75:E75">IFERROR(INDEX(출력범위,SMALL(IF((찾을값=찾을범위),MATCH(ROW(찾을범위),ROW(찾을범위)),""),ROWS($A$1:D74)),COLUMNS($A$1:D74)),"")</x:f>
        <x:v/>
      </x:c>
      <x:c r="F75" s="8" t="str">
        <x:f t="array" ref="F75:F75">IFERROR(INDEX(출력범위,SMALL(IF((찾을값=찾을범위),MATCH(ROW(찾을범위),ROW(찾을범위)),""),ROWS($A$1:E74)),COLUMNS($A$1:E74)),"")</x:f>
        <x:v/>
      </x:c>
      <x:c r="G75" s="9" t="str">
        <x:f t="array" ref="G75:G75">IFERROR(INDEX(출력범위,SMALL(IF((찾을값=찾을범위),MATCH(ROW(찾을범위),ROW(찾을범위)),""),ROWS($A$1:F74)),COLUMNS($A$1:F74)),"")</x:f>
        <x:v/>
      </x:c>
      <x:c r="H75" s="10" t="str">
        <x:f t="array" ref="H75:H75">IFERROR(INDEX(출력범위,SMALL(IF((찾을값=찾을범위),MATCH(ROW(찾을범위),ROW(찾을범위)),""),ROWS($A$1:G74)),COLUMNS($A$1:G74)),"")</x:f>
        <x:v/>
      </x:c>
      <x:c r="I75" s="11" t="str">
        <x:f t="array" ref="I75:I75">IFERROR(INDEX(출력범위,SMALL(IF((찾을값=찾을범위),MATCH(ROW(찾을범위),ROW(찾을범위)),""),ROWS($A$1:H74)),COLUMNS($A$1:H74)),"")</x:f>
        <x:v/>
      </x:c>
    </x:row>
    <x:row r="76" spans="1:9" ht="20.649999999999999">
      <x:c r="A76" s="172"/>
      <x:c r="B76" s="7" t="str">
        <x:f t="array" ref="B76:B76">IFERROR(INDEX(출력범위,SMALL(IF((찾을값=찾을범위),MATCH(ROW(찾을범위),ROW(찾을범위)),""),ROWS($A$1:A75)),COLUMNS($A$1:A75)),"")</x:f>
        <x:v/>
      </x:c>
      <x:c r="C76" s="7" t="str">
        <x:f t="array" ref="C76:C76">IFERROR(INDEX(출력범위,SMALL(IF((찾을값=찾을범위),MATCH(ROW(찾을범위),ROW(찾을범위)),""),ROWS($A$1:B75)),COLUMNS($A$1:B75)),"")</x:f>
        <x:v/>
      </x:c>
      <x:c r="D76" s="7" t="str">
        <x:f t="array" ref="D76:D76">IFERROR(INDEX(출력범위,SMALL(IF((찾을값=찾을범위),MATCH(ROW(찾을범위),ROW(찾을범위)),""),ROWS($A$1:C75)),COLUMNS($A$1:C75)),"")</x:f>
        <x:v/>
      </x:c>
      <x:c r="E76" s="7" t="str">
        <x:f t="array" ref="E76:E76">IFERROR(INDEX(출력범위,SMALL(IF((찾을값=찾을범위),MATCH(ROW(찾을범위),ROW(찾을범위)),""),ROWS($A$1:D75)),COLUMNS($A$1:D75)),"")</x:f>
        <x:v/>
      </x:c>
      <x:c r="F76" s="7" t="str">
        <x:f t="array" ref="F76:F76">IFERROR(INDEX(출력범위,SMALL(IF((찾을값=찾을범위),MATCH(ROW(찾을범위),ROW(찾을범위)),""),ROWS($A$1:E75)),COLUMNS($A$1:E75)),"")</x:f>
        <x:v/>
      </x:c>
      <x:c r="G76" s="12" t="str">
        <x:f t="array" ref="G76:G76">IFERROR(INDEX(출력범위,SMALL(IF((찾을값=찾을범위),MATCH(ROW(찾을범위),ROW(찾을범위)),""),ROWS($A$1:F75)),COLUMNS($A$1:F75)),"")</x:f>
        <x:v/>
      </x:c>
      <x:c r="H76" s="13" t="str">
        <x:f t="array" ref="H76:H76">IFERROR(INDEX(출력범위,SMALL(IF((찾을값=찾을범위),MATCH(ROW(찾을범위),ROW(찾을범위)),""),ROWS($A$1:G75)),COLUMNS($A$1:G75)),"")</x:f>
        <x:v/>
      </x:c>
      <x:c r="I76" s="14" t="str">
        <x:f t="array" ref="I76:I76">IFERROR(INDEX(출력범위,SMALL(IF((찾을값=찾을범위),MATCH(ROW(찾을범위),ROW(찾을범위)),""),ROWS($A$1:H75)),COLUMNS($A$1:H75)),"")</x:f>
        <x:v/>
      </x:c>
    </x:row>
    <x:row r="77" spans="1:9" ht="20.649999999999999">
      <x:c r="A77" s="173"/>
      <x:c r="B77" s="8" t="str">
        <x:f t="array" ref="B77:B77">IFERROR(INDEX(출력범위,SMALL(IF((찾을값=찾을범위),MATCH(ROW(찾을범위),ROW(찾을범위)),""),ROWS($A$1:A76)),COLUMNS($A$1:A76)),"")</x:f>
        <x:v/>
      </x:c>
      <x:c r="C77" s="8" t="str">
        <x:f t="array" ref="C77:C77">IFERROR(INDEX(출력범위,SMALL(IF((찾을값=찾을범위),MATCH(ROW(찾을범위),ROW(찾을범위)),""),ROWS($A$1:B76)),COLUMNS($A$1:B76)),"")</x:f>
        <x:v/>
      </x:c>
      <x:c r="D77" s="8" t="str">
        <x:f t="array" ref="D77:D77">IFERROR(INDEX(출력범위,SMALL(IF((찾을값=찾을범위),MATCH(ROW(찾을범위),ROW(찾을범위)),""),ROWS($A$1:C76)),COLUMNS($A$1:C76)),"")</x:f>
        <x:v/>
      </x:c>
      <x:c r="E77" s="8" t="str">
        <x:f t="array" ref="E77:E77">IFERROR(INDEX(출력범위,SMALL(IF((찾을값=찾을범위),MATCH(ROW(찾을범위),ROW(찾을범위)),""),ROWS($A$1:D76)),COLUMNS($A$1:D76)),"")</x:f>
        <x:v/>
      </x:c>
      <x:c r="F77" s="8" t="str">
        <x:f t="array" ref="F77:F77">IFERROR(INDEX(출력범위,SMALL(IF((찾을값=찾을범위),MATCH(ROW(찾을범위),ROW(찾을범위)),""),ROWS($A$1:E76)),COLUMNS($A$1:E76)),"")</x:f>
        <x:v/>
      </x:c>
      <x:c r="G77" s="9" t="str">
        <x:f t="array" ref="G77:G77">IFERROR(INDEX(출력범위,SMALL(IF((찾을값=찾을범위),MATCH(ROW(찾을범위),ROW(찾을범위)),""),ROWS($A$1:F76)),COLUMNS($A$1:F76)),"")</x:f>
        <x:v/>
      </x:c>
      <x:c r="H77" s="10" t="str">
        <x:f t="array" ref="H77:H77">IFERROR(INDEX(출력범위,SMALL(IF((찾을값=찾을범위),MATCH(ROW(찾을범위),ROW(찾을범위)),""),ROWS($A$1:G76)),COLUMNS($A$1:G76)),"")</x:f>
        <x:v/>
      </x:c>
      <x:c r="I77" s="11" t="str">
        <x:f t="array" ref="I77:I77">IFERROR(INDEX(출력범위,SMALL(IF((찾을값=찾을범위),MATCH(ROW(찾을범위),ROW(찾을범위)),""),ROWS($A$1:H76)),COLUMNS($A$1:H76)),"")</x:f>
        <x:v/>
      </x:c>
    </x:row>
    <x:row r="78" spans="1:9" ht="20.649999999999999">
      <x:c r="A78" s="172"/>
      <x:c r="B78" s="7" t="str">
        <x:f t="array" ref="B78:B78">IFERROR(INDEX(출력범위,SMALL(IF((찾을값=찾을범위),MATCH(ROW(찾을범위),ROW(찾을범위)),""),ROWS($A$1:A77)),COLUMNS($A$1:A77)),"")</x:f>
        <x:v/>
      </x:c>
      <x:c r="C78" s="7" t="str">
        <x:f t="array" ref="C78:C78">IFERROR(INDEX(출력범위,SMALL(IF((찾을값=찾을범위),MATCH(ROW(찾을범위),ROW(찾을범위)),""),ROWS($A$1:B77)),COLUMNS($A$1:B77)),"")</x:f>
        <x:v/>
      </x:c>
      <x:c r="D78" s="7" t="str">
        <x:f t="array" ref="D78:D78">IFERROR(INDEX(출력범위,SMALL(IF((찾을값=찾을범위),MATCH(ROW(찾을범위),ROW(찾을범위)),""),ROWS($A$1:C77)),COLUMNS($A$1:C77)),"")</x:f>
        <x:v/>
      </x:c>
      <x:c r="E78" s="7" t="str">
        <x:f t="array" ref="E78:E78">IFERROR(INDEX(출력범위,SMALL(IF((찾을값=찾을범위),MATCH(ROW(찾을범위),ROW(찾을범위)),""),ROWS($A$1:D77)),COLUMNS($A$1:D77)),"")</x:f>
        <x:v/>
      </x:c>
      <x:c r="F78" s="7" t="str">
        <x:f t="array" ref="F78:F78">IFERROR(INDEX(출력범위,SMALL(IF((찾을값=찾을범위),MATCH(ROW(찾을범위),ROW(찾을범위)),""),ROWS($A$1:E77)),COLUMNS($A$1:E77)),"")</x:f>
        <x:v/>
      </x:c>
      <x:c r="G78" s="12" t="str">
        <x:f t="array" ref="G78:G78">IFERROR(INDEX(출력범위,SMALL(IF((찾을값=찾을범위),MATCH(ROW(찾을범위),ROW(찾을범위)),""),ROWS($A$1:F77)),COLUMNS($A$1:F77)),"")</x:f>
        <x:v/>
      </x:c>
      <x:c r="H78" s="13" t="str">
        <x:f t="array" ref="H78:H78">IFERROR(INDEX(출력범위,SMALL(IF((찾을값=찾을범위),MATCH(ROW(찾을범위),ROW(찾을범위)),""),ROWS($A$1:G77)),COLUMNS($A$1:G77)),"")</x:f>
        <x:v/>
      </x:c>
      <x:c r="I78" s="14" t="str">
        <x:f t="array" ref="I78:I78">IFERROR(INDEX(출력범위,SMALL(IF((찾을값=찾을범위),MATCH(ROW(찾을범위),ROW(찾을범위)),""),ROWS($A$1:H77)),COLUMNS($A$1:H77)),"")</x:f>
        <x:v/>
      </x:c>
    </x:row>
    <x:row r="79" spans="1:9" ht="20.649999999999999">
      <x:c r="A79" s="173"/>
      <x:c r="B79" s="8" t="str">
        <x:f t="array" ref="B79:B79">IFERROR(INDEX(출력범위,SMALL(IF((찾을값=찾을범위),MATCH(ROW(찾을범위),ROW(찾을범위)),""),ROWS($A$1:A78)),COLUMNS($A$1:A78)),"")</x:f>
        <x:v/>
      </x:c>
      <x:c r="C79" s="8" t="str">
        <x:f t="array" ref="C79:C79">IFERROR(INDEX(출력범위,SMALL(IF((찾을값=찾을범위),MATCH(ROW(찾을범위),ROW(찾을범위)),""),ROWS($A$1:B78)),COLUMNS($A$1:B78)),"")</x:f>
        <x:v/>
      </x:c>
      <x:c r="D79" s="8" t="str">
        <x:f t="array" ref="D79:D79">IFERROR(INDEX(출력범위,SMALL(IF((찾을값=찾을범위),MATCH(ROW(찾을범위),ROW(찾을범위)),""),ROWS($A$1:C78)),COLUMNS($A$1:C78)),"")</x:f>
        <x:v/>
      </x:c>
      <x:c r="E79" s="8" t="str">
        <x:f t="array" ref="E79:E79">IFERROR(INDEX(출력범위,SMALL(IF((찾을값=찾을범위),MATCH(ROW(찾을범위),ROW(찾을범위)),""),ROWS($A$1:D78)),COLUMNS($A$1:D78)),"")</x:f>
        <x:v/>
      </x:c>
      <x:c r="F79" s="8" t="str">
        <x:f t="array" ref="F79:F79">IFERROR(INDEX(출력범위,SMALL(IF((찾을값=찾을범위),MATCH(ROW(찾을범위),ROW(찾을범위)),""),ROWS($A$1:E78)),COLUMNS($A$1:E78)),"")</x:f>
        <x:v/>
      </x:c>
      <x:c r="G79" s="9" t="str">
        <x:f t="array" ref="G79:G79">IFERROR(INDEX(출력범위,SMALL(IF((찾을값=찾을범위),MATCH(ROW(찾을범위),ROW(찾을범위)),""),ROWS($A$1:F78)),COLUMNS($A$1:F78)),"")</x:f>
        <x:v/>
      </x:c>
      <x:c r="H79" s="10" t="str">
        <x:f t="array" ref="H79:H79">IFERROR(INDEX(출력범위,SMALL(IF((찾을값=찾을범위),MATCH(ROW(찾을범위),ROW(찾을범위)),""),ROWS($A$1:G78)),COLUMNS($A$1:G78)),"")</x:f>
        <x:v/>
      </x:c>
      <x:c r="I79" s="11" t="str">
        <x:f t="array" ref="I79:I79">IFERROR(INDEX(출력범위,SMALL(IF((찾을값=찾을범위),MATCH(ROW(찾을범위),ROW(찾을범위)),""),ROWS($A$1:H78)),COLUMNS($A$1:H78)),"")</x:f>
        <x:v/>
      </x:c>
    </x:row>
    <x:row r="80" spans="1:9" ht="20.649999999999999">
      <x:c r="A80" s="172"/>
      <x:c r="B80" s="7" t="str">
        <x:f t="array" ref="B80:B80">IFERROR(INDEX(출력범위,SMALL(IF((찾을값=찾을범위),MATCH(ROW(찾을범위),ROW(찾을범위)),""),ROWS($A$1:A79)),COLUMNS($A$1:A79)),"")</x:f>
        <x:v/>
      </x:c>
      <x:c r="C80" s="7" t="str">
        <x:f t="array" ref="C80:C80">IFERROR(INDEX(출력범위,SMALL(IF((찾을값=찾을범위),MATCH(ROW(찾을범위),ROW(찾을범위)),""),ROWS($A$1:B79)),COLUMNS($A$1:B79)),"")</x:f>
        <x:v/>
      </x:c>
      <x:c r="D80" s="7" t="str">
        <x:f t="array" ref="D80:D80">IFERROR(INDEX(출력범위,SMALL(IF((찾을값=찾을범위),MATCH(ROW(찾을범위),ROW(찾을범위)),""),ROWS($A$1:C79)),COLUMNS($A$1:C79)),"")</x:f>
        <x:v/>
      </x:c>
      <x:c r="E80" s="7" t="str">
        <x:f t="array" ref="E80:E80">IFERROR(INDEX(출력범위,SMALL(IF((찾을값=찾을범위),MATCH(ROW(찾을범위),ROW(찾을범위)),""),ROWS($A$1:D79)),COLUMNS($A$1:D79)),"")</x:f>
        <x:v/>
      </x:c>
      <x:c r="F80" s="7" t="str">
        <x:f t="array" ref="F80:F80">IFERROR(INDEX(출력범위,SMALL(IF((찾을값=찾을범위),MATCH(ROW(찾을범위),ROW(찾을범위)),""),ROWS($A$1:E79)),COLUMNS($A$1:E79)),"")</x:f>
        <x:v/>
      </x:c>
      <x:c r="G80" s="12" t="str">
        <x:f t="array" ref="G80:G80">IFERROR(INDEX(출력범위,SMALL(IF((찾을값=찾을범위),MATCH(ROW(찾을범위),ROW(찾을범위)),""),ROWS($A$1:F79)),COLUMNS($A$1:F79)),"")</x:f>
        <x:v/>
      </x:c>
      <x:c r="H80" s="13" t="str">
        <x:f t="array" ref="H80:H80">IFERROR(INDEX(출력범위,SMALL(IF((찾을값=찾을범위),MATCH(ROW(찾을범위),ROW(찾을범위)),""),ROWS($A$1:G79)),COLUMNS($A$1:G79)),"")</x:f>
        <x:v/>
      </x:c>
      <x:c r="I80" s="14" t="str">
        <x:f t="array" ref="I80:I80">IFERROR(INDEX(출력범위,SMALL(IF((찾을값=찾을범위),MATCH(ROW(찾을범위),ROW(찾을범위)),""),ROWS($A$1:H79)),COLUMNS($A$1:H79)),"")</x:f>
        <x:v/>
      </x:c>
    </x:row>
    <x:row r="81" spans="1:9" ht="20.649999999999999">
      <x:c r="A81" s="173"/>
      <x:c r="B81" s="8" t="str">
        <x:f t="array" ref="B81:B81">IFERROR(INDEX(출력범위,SMALL(IF((찾을값=찾을범위),MATCH(ROW(찾을범위),ROW(찾을범위)),""),ROWS($A$1:A80)),COLUMNS($A$1:A80)),"")</x:f>
        <x:v/>
      </x:c>
      <x:c r="C81" s="8" t="str">
        <x:f t="array" ref="C81:C81">IFERROR(INDEX(출력범위,SMALL(IF((찾을값=찾을범위),MATCH(ROW(찾을범위),ROW(찾을범위)),""),ROWS($A$1:B80)),COLUMNS($A$1:B80)),"")</x:f>
        <x:v/>
      </x:c>
      <x:c r="D81" s="8" t="str">
        <x:f t="array" ref="D81:D81">IFERROR(INDEX(출력범위,SMALL(IF((찾을값=찾을범위),MATCH(ROW(찾을범위),ROW(찾을범위)),""),ROWS($A$1:C80)),COLUMNS($A$1:C80)),"")</x:f>
        <x:v/>
      </x:c>
      <x:c r="E81" s="8" t="str">
        <x:f t="array" ref="E81:E81">IFERROR(INDEX(출력범위,SMALL(IF((찾을값=찾을범위),MATCH(ROW(찾을범위),ROW(찾을범위)),""),ROWS($A$1:D80)),COLUMNS($A$1:D80)),"")</x:f>
        <x:v/>
      </x:c>
      <x:c r="F81" s="8" t="str">
        <x:f t="array" ref="F81:F81">IFERROR(INDEX(출력범위,SMALL(IF((찾을값=찾을범위),MATCH(ROW(찾을범위),ROW(찾을범위)),""),ROWS($A$1:E80)),COLUMNS($A$1:E80)),"")</x:f>
        <x:v/>
      </x:c>
      <x:c r="G81" s="9" t="str">
        <x:f t="array" ref="G81:G81">IFERROR(INDEX(출력범위,SMALL(IF((찾을값=찾을범위),MATCH(ROW(찾을범위),ROW(찾을범위)),""),ROWS($A$1:F80)),COLUMNS($A$1:F80)),"")</x:f>
        <x:v/>
      </x:c>
      <x:c r="H81" s="10" t="str">
        <x:f t="array" ref="H81:H81">IFERROR(INDEX(출력범위,SMALL(IF((찾을값=찾을범위),MATCH(ROW(찾을범위),ROW(찾을범위)),""),ROWS($A$1:G80)),COLUMNS($A$1:G80)),"")</x:f>
        <x:v/>
      </x:c>
      <x:c r="I81" s="11" t="str">
        <x:f t="array" ref="I81:I81">IFERROR(INDEX(출력범위,SMALL(IF((찾을값=찾을범위),MATCH(ROW(찾을범위),ROW(찾을범위)),""),ROWS($A$1:H80)),COLUMNS($A$1:H80)),"")</x:f>
        <x:v/>
      </x:c>
    </x:row>
    <x:row r="82" spans="1:9" ht="20.649999999999999">
      <x:c r="A82" s="172"/>
      <x:c r="B82" s="7" t="str">
        <x:f t="array" ref="B82:B82">IFERROR(INDEX(출력범위,SMALL(IF((찾을값=찾을범위),MATCH(ROW(찾을범위),ROW(찾을범위)),""),ROWS($A$1:A81)),COLUMNS($A$1:A81)),"")</x:f>
        <x:v/>
      </x:c>
      <x:c r="C82" s="7" t="str">
        <x:f t="array" ref="C82:C82">IFERROR(INDEX(출력범위,SMALL(IF((찾을값=찾을범위),MATCH(ROW(찾을범위),ROW(찾을범위)),""),ROWS($A$1:B81)),COLUMNS($A$1:B81)),"")</x:f>
        <x:v/>
      </x:c>
      <x:c r="D82" s="7" t="str">
        <x:f t="array" ref="D82:D82">IFERROR(INDEX(출력범위,SMALL(IF((찾을값=찾을범위),MATCH(ROW(찾을범위),ROW(찾을범위)),""),ROWS($A$1:C81)),COLUMNS($A$1:C81)),"")</x:f>
        <x:v/>
      </x:c>
      <x:c r="E82" s="7" t="str">
        <x:f t="array" ref="E82:E82">IFERROR(INDEX(출력범위,SMALL(IF((찾을값=찾을범위),MATCH(ROW(찾을범위),ROW(찾을범위)),""),ROWS($A$1:D81)),COLUMNS($A$1:D81)),"")</x:f>
        <x:v/>
      </x:c>
      <x:c r="F82" s="7" t="str">
        <x:f t="array" ref="F82:F82">IFERROR(INDEX(출력범위,SMALL(IF((찾을값=찾을범위),MATCH(ROW(찾을범위),ROW(찾을범위)),""),ROWS($A$1:E81)),COLUMNS($A$1:E81)),"")</x:f>
        <x:v/>
      </x:c>
      <x:c r="G82" s="12" t="str">
        <x:f t="array" ref="G82:G82">IFERROR(INDEX(출력범위,SMALL(IF((찾을값=찾을범위),MATCH(ROW(찾을범위),ROW(찾을범위)),""),ROWS($A$1:F81)),COLUMNS($A$1:F81)),"")</x:f>
        <x:v/>
      </x:c>
      <x:c r="H82" s="13" t="str">
        <x:f t="array" ref="H82:H82">IFERROR(INDEX(출력범위,SMALL(IF((찾을값=찾을범위),MATCH(ROW(찾을범위),ROW(찾을범위)),""),ROWS($A$1:G81)),COLUMNS($A$1:G81)),"")</x:f>
        <x:v/>
      </x:c>
      <x:c r="I82" s="14" t="str">
        <x:f t="array" ref="I82:I82">IFERROR(INDEX(출력범위,SMALL(IF((찾을값=찾을범위),MATCH(ROW(찾을범위),ROW(찾을범위)),""),ROWS($A$1:H81)),COLUMNS($A$1:H81)),"")</x:f>
        <x:v/>
      </x:c>
    </x:row>
    <x:row r="83" spans="1:9" ht="20.649999999999999">
      <x:c r="A83" s="173"/>
      <x:c r="B83" s="8" t="str">
        <x:f t="array" ref="B83:B83">IFERROR(INDEX(출력범위,SMALL(IF((찾을값=찾을범위),MATCH(ROW(찾을범위),ROW(찾을범위)),""),ROWS($A$1:A82)),COLUMNS($A$1:A82)),"")</x:f>
        <x:v/>
      </x:c>
      <x:c r="C83" s="8" t="str">
        <x:f t="array" ref="C83:C83">IFERROR(INDEX(출력범위,SMALL(IF((찾을값=찾을범위),MATCH(ROW(찾을범위),ROW(찾을범위)),""),ROWS($A$1:B82)),COLUMNS($A$1:B82)),"")</x:f>
        <x:v/>
      </x:c>
      <x:c r="D83" s="8" t="str">
        <x:f t="array" ref="D83:D83">IFERROR(INDEX(출력범위,SMALL(IF((찾을값=찾을범위),MATCH(ROW(찾을범위),ROW(찾을범위)),""),ROWS($A$1:C82)),COLUMNS($A$1:C82)),"")</x:f>
        <x:v/>
      </x:c>
      <x:c r="E83" s="8" t="str">
        <x:f t="array" ref="E83:E83">IFERROR(INDEX(출력범위,SMALL(IF((찾을값=찾을범위),MATCH(ROW(찾을범위),ROW(찾을범위)),""),ROWS($A$1:D82)),COLUMNS($A$1:D82)),"")</x:f>
        <x:v/>
      </x:c>
      <x:c r="F83" s="8" t="str">
        <x:f t="array" ref="F83:F83">IFERROR(INDEX(출력범위,SMALL(IF((찾을값=찾을범위),MATCH(ROW(찾을범위),ROW(찾을범위)),""),ROWS($A$1:E82)),COLUMNS($A$1:E82)),"")</x:f>
        <x:v/>
      </x:c>
      <x:c r="G83" s="9" t="str">
        <x:f t="array" ref="G83:G83">IFERROR(INDEX(출력범위,SMALL(IF((찾을값=찾을범위),MATCH(ROW(찾을범위),ROW(찾을범위)),""),ROWS($A$1:F82)),COLUMNS($A$1:F82)),"")</x:f>
        <x:v/>
      </x:c>
      <x:c r="H83" s="10" t="str">
        <x:f t="array" ref="H83:H83">IFERROR(INDEX(출력범위,SMALL(IF((찾을값=찾을범위),MATCH(ROW(찾을범위),ROW(찾을범위)),""),ROWS($A$1:G82)),COLUMNS($A$1:G82)),"")</x:f>
        <x:v/>
      </x:c>
      <x:c r="I83" s="11" t="str">
        <x:f t="array" ref="I83:I83">IFERROR(INDEX(출력범위,SMALL(IF((찾을값=찾을범위),MATCH(ROW(찾을범위),ROW(찾을범위)),""),ROWS($A$1:H82)),COLUMNS($A$1:H82)),"")</x:f>
        <x:v/>
      </x:c>
    </x:row>
    <x:row r="84" spans="1:9" ht="20.649999999999999">
      <x:c r="A84" s="172"/>
      <x:c r="B84" s="7" t="str">
        <x:f t="array" ref="B84:B84">IFERROR(INDEX(출력범위,SMALL(IF((찾을값=찾을범위),MATCH(ROW(찾을범위),ROW(찾을범위)),""),ROWS($A$1:A83)),COLUMNS($A$1:A83)),"")</x:f>
        <x:v/>
      </x:c>
      <x:c r="C84" s="7" t="str">
        <x:f t="array" ref="C84:C84">IFERROR(INDEX(출력범위,SMALL(IF((찾을값=찾을범위),MATCH(ROW(찾을범위),ROW(찾을범위)),""),ROWS($A$1:B83)),COLUMNS($A$1:B83)),"")</x:f>
        <x:v/>
      </x:c>
      <x:c r="D84" s="7" t="str">
        <x:f t="array" ref="D84:D84">IFERROR(INDEX(출력범위,SMALL(IF((찾을값=찾을범위),MATCH(ROW(찾을범위),ROW(찾을범위)),""),ROWS($A$1:C83)),COLUMNS($A$1:C83)),"")</x:f>
        <x:v/>
      </x:c>
      <x:c r="E84" s="7" t="str">
        <x:f t="array" ref="E84:E84">IFERROR(INDEX(출력범위,SMALL(IF((찾을값=찾을범위),MATCH(ROW(찾을범위),ROW(찾을범위)),""),ROWS($A$1:D83)),COLUMNS($A$1:D83)),"")</x:f>
        <x:v/>
      </x:c>
      <x:c r="F84" s="7" t="str">
        <x:f t="array" ref="F84:F84">IFERROR(INDEX(출력범위,SMALL(IF((찾을값=찾을범위),MATCH(ROW(찾을범위),ROW(찾을범위)),""),ROWS($A$1:E83)),COLUMNS($A$1:E83)),"")</x:f>
        <x:v/>
      </x:c>
      <x:c r="G84" s="12" t="str">
        <x:f t="array" ref="G84:G84">IFERROR(INDEX(출력범위,SMALL(IF((찾을값=찾을범위),MATCH(ROW(찾을범위),ROW(찾을범위)),""),ROWS($A$1:F83)),COLUMNS($A$1:F83)),"")</x:f>
        <x:v/>
      </x:c>
      <x:c r="H84" s="13" t="str">
        <x:f t="array" ref="H84:H84">IFERROR(INDEX(출력범위,SMALL(IF((찾을값=찾을범위),MATCH(ROW(찾을범위),ROW(찾을범위)),""),ROWS($A$1:G83)),COLUMNS($A$1:G83)),"")</x:f>
        <x:v/>
      </x:c>
      <x:c r="I84" s="14" t="str">
        <x:f t="array" ref="I84:I84">IFERROR(INDEX(출력범위,SMALL(IF((찾을값=찾을범위),MATCH(ROW(찾을범위),ROW(찾을범위)),""),ROWS($A$1:H83)),COLUMNS($A$1:H83)),"")</x:f>
        <x:v/>
      </x:c>
    </x:row>
    <x:row r="85" spans="1:9" ht="20.649999999999999">
      <x:c r="A85" s="173"/>
      <x:c r="B85" s="8" t="str">
        <x:f t="array" ref="B85:B85">IFERROR(INDEX(출력범위,SMALL(IF((찾을값=찾을범위),MATCH(ROW(찾을범위),ROW(찾을범위)),""),ROWS($A$1:A84)),COLUMNS($A$1:A84)),"")</x:f>
        <x:v/>
      </x:c>
      <x:c r="C85" s="8" t="str">
        <x:f t="array" ref="C85:C85">IFERROR(INDEX(출력범위,SMALL(IF((찾을값=찾을범위),MATCH(ROW(찾을범위),ROW(찾을범위)),""),ROWS($A$1:B84)),COLUMNS($A$1:B84)),"")</x:f>
        <x:v/>
      </x:c>
      <x:c r="D85" s="8" t="str">
        <x:f t="array" ref="D85:D85">IFERROR(INDEX(출력범위,SMALL(IF((찾을값=찾을범위),MATCH(ROW(찾을범위),ROW(찾을범위)),""),ROWS($A$1:C84)),COLUMNS($A$1:C84)),"")</x:f>
        <x:v/>
      </x:c>
      <x:c r="E85" s="8" t="str">
        <x:f t="array" ref="E85:E85">IFERROR(INDEX(출력범위,SMALL(IF((찾을값=찾을범위),MATCH(ROW(찾을범위),ROW(찾을범위)),""),ROWS($A$1:D84)),COLUMNS($A$1:D84)),"")</x:f>
        <x:v/>
      </x:c>
      <x:c r="F85" s="8" t="str">
        <x:f t="array" ref="F85:F85">IFERROR(INDEX(출력범위,SMALL(IF((찾을값=찾을범위),MATCH(ROW(찾을범위),ROW(찾을범위)),""),ROWS($A$1:E84)),COLUMNS($A$1:E84)),"")</x:f>
        <x:v/>
      </x:c>
      <x:c r="G85" s="9" t="str">
        <x:f t="array" ref="G85:G85">IFERROR(INDEX(출력범위,SMALL(IF((찾을값=찾을범위),MATCH(ROW(찾을범위),ROW(찾을범위)),""),ROWS($A$1:F84)),COLUMNS($A$1:F84)),"")</x:f>
        <x:v/>
      </x:c>
      <x:c r="H85" s="10" t="str">
        <x:f t="array" ref="H85:H85">IFERROR(INDEX(출력범위,SMALL(IF((찾을값=찾을범위),MATCH(ROW(찾을범위),ROW(찾을범위)),""),ROWS($A$1:G84)),COLUMNS($A$1:G84)),"")</x:f>
        <x:v/>
      </x:c>
      <x:c r="I85" s="11" t="str">
        <x:f t="array" ref="I85:I85">IFERROR(INDEX(출력범위,SMALL(IF((찾을값=찾을범위),MATCH(ROW(찾을범위),ROW(찾을범위)),""),ROWS($A$1:H84)),COLUMNS($A$1:H84)),"")</x:f>
        <x:v/>
      </x:c>
    </x:row>
    <x:row r="86" spans="1:9" ht="20.649999999999999">
      <x:c r="A86" s="172"/>
      <x:c r="B86" s="7" t="str">
        <x:f t="array" ref="B86:B86">IFERROR(INDEX(출력범위,SMALL(IF((찾을값=찾을범위),MATCH(ROW(찾을범위),ROW(찾을범위)),""),ROWS($A$1:A85)),COLUMNS($A$1:A85)),"")</x:f>
        <x:v/>
      </x:c>
      <x:c r="C86" s="7" t="str">
        <x:f t="array" ref="C86:C86">IFERROR(INDEX(출력범위,SMALL(IF((찾을값=찾을범위),MATCH(ROW(찾을범위),ROW(찾을범위)),""),ROWS($A$1:B85)),COLUMNS($A$1:B85)),"")</x:f>
        <x:v/>
      </x:c>
      <x:c r="D86" s="7" t="str">
        <x:f t="array" ref="D86:D86">IFERROR(INDEX(출력범위,SMALL(IF((찾을값=찾을범위),MATCH(ROW(찾을범위),ROW(찾을범위)),""),ROWS($A$1:C85)),COLUMNS($A$1:C85)),"")</x:f>
        <x:v/>
      </x:c>
      <x:c r="E86" s="7" t="str">
        <x:f t="array" ref="E86:E86">IFERROR(INDEX(출력범위,SMALL(IF((찾을값=찾을범위),MATCH(ROW(찾을범위),ROW(찾을범위)),""),ROWS($A$1:D85)),COLUMNS($A$1:D85)),"")</x:f>
        <x:v/>
      </x:c>
      <x:c r="F86" s="7" t="str">
        <x:f t="array" ref="F86:F86">IFERROR(INDEX(출력범위,SMALL(IF((찾을값=찾을범위),MATCH(ROW(찾을범위),ROW(찾을범위)),""),ROWS($A$1:E85)),COLUMNS($A$1:E85)),"")</x:f>
        <x:v/>
      </x:c>
      <x:c r="G86" s="12" t="str">
        <x:f t="array" ref="G86:G86">IFERROR(INDEX(출력범위,SMALL(IF((찾을값=찾을범위),MATCH(ROW(찾을범위),ROW(찾을범위)),""),ROWS($A$1:F85)),COLUMNS($A$1:F85)),"")</x:f>
        <x:v/>
      </x:c>
      <x:c r="H86" s="13" t="str">
        <x:f t="array" ref="H86:H86">IFERROR(INDEX(출력범위,SMALL(IF((찾을값=찾을범위),MATCH(ROW(찾을범위),ROW(찾을범위)),""),ROWS($A$1:G85)),COLUMNS($A$1:G85)),"")</x:f>
        <x:v/>
      </x:c>
      <x:c r="I86" s="14" t="str">
        <x:f t="array" ref="I86:I86">IFERROR(INDEX(출력범위,SMALL(IF((찾을값=찾을범위),MATCH(ROW(찾을범위),ROW(찾을범위)),""),ROWS($A$1:H85)),COLUMNS($A$1:H85)),"")</x:f>
        <x:v/>
      </x:c>
    </x:row>
    <x:row r="87" spans="1:9" ht="20.649999999999999">
      <x:c r="A87" s="173"/>
      <x:c r="B87" s="8" t="str">
        <x:f t="array" ref="B87:B87">IFERROR(INDEX(출력범위,SMALL(IF((찾을값=찾을범위),MATCH(ROW(찾을범위),ROW(찾을범위)),""),ROWS($A$1:A86)),COLUMNS($A$1:A86)),"")</x:f>
        <x:v/>
      </x:c>
      <x:c r="C87" s="8" t="str">
        <x:f t="array" ref="C87:C87">IFERROR(INDEX(출력범위,SMALL(IF((찾을값=찾을범위),MATCH(ROW(찾을범위),ROW(찾을범위)),""),ROWS($A$1:B86)),COLUMNS($A$1:B86)),"")</x:f>
        <x:v/>
      </x:c>
      <x:c r="D87" s="8" t="str">
        <x:f t="array" ref="D87:D87">IFERROR(INDEX(출력범위,SMALL(IF((찾을값=찾을범위),MATCH(ROW(찾을범위),ROW(찾을범위)),""),ROWS($A$1:C86)),COLUMNS($A$1:C86)),"")</x:f>
        <x:v/>
      </x:c>
      <x:c r="E87" s="8" t="str">
        <x:f t="array" ref="E87:E87">IFERROR(INDEX(출력범위,SMALL(IF((찾을값=찾을범위),MATCH(ROW(찾을범위),ROW(찾을범위)),""),ROWS($A$1:D86)),COLUMNS($A$1:D86)),"")</x:f>
        <x:v/>
      </x:c>
      <x:c r="F87" s="8" t="str">
        <x:f t="array" ref="F87:F87">IFERROR(INDEX(출력범위,SMALL(IF((찾을값=찾을범위),MATCH(ROW(찾을범위),ROW(찾을범위)),""),ROWS($A$1:E86)),COLUMNS($A$1:E86)),"")</x:f>
        <x:v/>
      </x:c>
      <x:c r="G87" s="9" t="str">
        <x:f t="array" ref="G87:G87">IFERROR(INDEX(출력범위,SMALL(IF((찾을값=찾을범위),MATCH(ROW(찾을범위),ROW(찾을범위)),""),ROWS($A$1:F86)),COLUMNS($A$1:F86)),"")</x:f>
        <x:v/>
      </x:c>
      <x:c r="H87" s="10" t="str">
        <x:f t="array" ref="H87:H87">IFERROR(INDEX(출력범위,SMALL(IF((찾을값=찾을범위),MATCH(ROW(찾을범위),ROW(찾을범위)),""),ROWS($A$1:G86)),COLUMNS($A$1:G86)),"")</x:f>
        <x:v/>
      </x:c>
      <x:c r="I87" s="11" t="str">
        <x:f t="array" ref="I87:I87">IFERROR(INDEX(출력범위,SMALL(IF((찾을값=찾을범위),MATCH(ROW(찾을범위),ROW(찾을범위)),""),ROWS($A$1:H86)),COLUMNS($A$1:H86)),"")</x:f>
        <x:v/>
      </x:c>
    </x:row>
    <x:row r="88" spans="1:9" ht="20.649999999999999">
      <x:c r="A88" s="172"/>
      <x:c r="B88" s="7" t="str">
        <x:f t="array" ref="B88:B88">IFERROR(INDEX(출력범위,SMALL(IF((찾을값=찾을범위),MATCH(ROW(찾을범위),ROW(찾을범위)),""),ROWS($A$1:A87)),COLUMNS($A$1:A87)),"")</x:f>
        <x:v/>
      </x:c>
      <x:c r="C88" s="7" t="str">
        <x:f t="array" ref="C88:C88">IFERROR(INDEX(출력범위,SMALL(IF((찾을값=찾을범위),MATCH(ROW(찾을범위),ROW(찾을범위)),""),ROWS($A$1:B87)),COLUMNS($A$1:B87)),"")</x:f>
        <x:v/>
      </x:c>
      <x:c r="D88" s="7" t="str">
        <x:f t="array" ref="D88:D88">IFERROR(INDEX(출력범위,SMALL(IF((찾을값=찾을범위),MATCH(ROW(찾을범위),ROW(찾을범위)),""),ROWS($A$1:C87)),COLUMNS($A$1:C87)),"")</x:f>
        <x:v/>
      </x:c>
      <x:c r="E88" s="7" t="str">
        <x:f t="array" ref="E88:E88">IFERROR(INDEX(출력범위,SMALL(IF((찾을값=찾을범위),MATCH(ROW(찾을범위),ROW(찾을범위)),""),ROWS($A$1:D87)),COLUMNS($A$1:D87)),"")</x:f>
        <x:v/>
      </x:c>
      <x:c r="F88" s="7" t="str">
        <x:f t="array" ref="F88:F88">IFERROR(INDEX(출력범위,SMALL(IF((찾을값=찾을범위),MATCH(ROW(찾을범위),ROW(찾을범위)),""),ROWS($A$1:E87)),COLUMNS($A$1:E87)),"")</x:f>
        <x:v/>
      </x:c>
      <x:c r="G88" s="12" t="str">
        <x:f t="array" ref="G88:G88">IFERROR(INDEX(출력범위,SMALL(IF((찾을값=찾을범위),MATCH(ROW(찾을범위),ROW(찾을범위)),""),ROWS($A$1:F87)),COLUMNS($A$1:F87)),"")</x:f>
        <x:v/>
      </x:c>
      <x:c r="H88" s="13" t="str">
        <x:f t="array" ref="H88:H88">IFERROR(INDEX(출력범위,SMALL(IF((찾을값=찾을범위),MATCH(ROW(찾을범위),ROW(찾을범위)),""),ROWS($A$1:G87)),COLUMNS($A$1:G87)),"")</x:f>
        <x:v/>
      </x:c>
      <x:c r="I88" s="14" t="str">
        <x:f t="array" ref="I88:I88">IFERROR(INDEX(출력범위,SMALL(IF((찾을값=찾을범위),MATCH(ROW(찾을범위),ROW(찾을범위)),""),ROWS($A$1:H87)),COLUMNS($A$1:H87)),"")</x:f>
        <x:v/>
      </x:c>
    </x:row>
    <x:row r="89" spans="1:9" ht="20.649999999999999">
      <x:c r="A89" s="173"/>
      <x:c r="B89" s="8" t="str">
        <x:f t="array" ref="B89:B89">IFERROR(INDEX(출력범위,SMALL(IF((찾을값=찾을범위),MATCH(ROW(찾을범위),ROW(찾을범위)),""),ROWS($A$1:A88)),COLUMNS($A$1:A88)),"")</x:f>
        <x:v/>
      </x:c>
      <x:c r="C89" s="8" t="str">
        <x:f t="array" ref="C89:C89">IFERROR(INDEX(출력범위,SMALL(IF((찾을값=찾을범위),MATCH(ROW(찾을범위),ROW(찾을범위)),""),ROWS($A$1:B88)),COLUMNS($A$1:B88)),"")</x:f>
        <x:v/>
      </x:c>
      <x:c r="D89" s="8" t="str">
        <x:f t="array" ref="D89:D89">IFERROR(INDEX(출력범위,SMALL(IF((찾을값=찾을범위),MATCH(ROW(찾을범위),ROW(찾을범위)),""),ROWS($A$1:C88)),COLUMNS($A$1:C88)),"")</x:f>
        <x:v/>
      </x:c>
      <x:c r="E89" s="8" t="str">
        <x:f t="array" ref="E89:E89">IFERROR(INDEX(출력범위,SMALL(IF((찾을값=찾을범위),MATCH(ROW(찾을범위),ROW(찾을범위)),""),ROWS($A$1:D88)),COLUMNS($A$1:D88)),"")</x:f>
        <x:v/>
      </x:c>
      <x:c r="F89" s="8" t="str">
        <x:f t="array" ref="F89:F89">IFERROR(INDEX(출력범위,SMALL(IF((찾을값=찾을범위),MATCH(ROW(찾을범위),ROW(찾을범위)),""),ROWS($A$1:E88)),COLUMNS($A$1:E88)),"")</x:f>
        <x:v/>
      </x:c>
      <x:c r="G89" s="9" t="str">
        <x:f t="array" ref="G89:G89">IFERROR(INDEX(출력범위,SMALL(IF((찾을값=찾을범위),MATCH(ROW(찾을범위),ROW(찾을범위)),""),ROWS($A$1:F88)),COLUMNS($A$1:F88)),"")</x:f>
        <x:v/>
      </x:c>
      <x:c r="H89" s="10" t="str">
        <x:f t="array" ref="H89:H89">IFERROR(INDEX(출력범위,SMALL(IF((찾을값=찾을범위),MATCH(ROW(찾을범위),ROW(찾을범위)),""),ROWS($A$1:G88)),COLUMNS($A$1:G88)),"")</x:f>
        <x:v/>
      </x:c>
      <x:c r="I89" s="11" t="str">
        <x:f t="array" ref="I89:I89">IFERROR(INDEX(출력범위,SMALL(IF((찾을값=찾을범위),MATCH(ROW(찾을범위),ROW(찾을범위)),""),ROWS($A$1:H88)),COLUMNS($A$1:H88)),"")</x:f>
        <x:v/>
      </x:c>
    </x:row>
    <x:row r="90" spans="1:9" ht="20.649999999999999">
      <x:c r="A90" s="172"/>
      <x:c r="B90" s="7" t="str">
        <x:f t="array" ref="B90:B90">IFERROR(INDEX(출력범위,SMALL(IF((찾을값=찾을범위),MATCH(ROW(찾을범위),ROW(찾을범위)),""),ROWS($A$1:A89)),COLUMNS($A$1:A89)),"")</x:f>
        <x:v/>
      </x:c>
      <x:c r="C90" s="7" t="str">
        <x:f t="array" ref="C90:C90">IFERROR(INDEX(출력범위,SMALL(IF((찾을값=찾을범위),MATCH(ROW(찾을범위),ROW(찾을범위)),""),ROWS($A$1:B89)),COLUMNS($A$1:B89)),"")</x:f>
        <x:v/>
      </x:c>
      <x:c r="D90" s="7" t="str">
        <x:f t="array" ref="D90:D90">IFERROR(INDEX(출력범위,SMALL(IF((찾을값=찾을범위),MATCH(ROW(찾을범위),ROW(찾을범위)),""),ROWS($A$1:C89)),COLUMNS($A$1:C89)),"")</x:f>
        <x:v/>
      </x:c>
      <x:c r="E90" s="7" t="str">
        <x:f t="array" ref="E90:E90">IFERROR(INDEX(출력범위,SMALL(IF((찾을값=찾을범위),MATCH(ROW(찾을범위),ROW(찾을범위)),""),ROWS($A$1:D89)),COLUMNS($A$1:D89)),"")</x:f>
        <x:v/>
      </x:c>
      <x:c r="F90" s="7" t="str">
        <x:f t="array" ref="F90:F90">IFERROR(INDEX(출력범위,SMALL(IF((찾을값=찾을범위),MATCH(ROW(찾을범위),ROW(찾을범위)),""),ROWS($A$1:E89)),COLUMNS($A$1:E89)),"")</x:f>
        <x:v/>
      </x:c>
      <x:c r="G90" s="12" t="str">
        <x:f t="array" ref="G90:G90">IFERROR(INDEX(출력범위,SMALL(IF((찾을값=찾을범위),MATCH(ROW(찾을범위),ROW(찾을범위)),""),ROWS($A$1:F89)),COLUMNS($A$1:F89)),"")</x:f>
        <x:v/>
      </x:c>
      <x:c r="H90" s="13" t="str">
        <x:f t="array" ref="H90:H90">IFERROR(INDEX(출력범위,SMALL(IF((찾을값=찾을범위),MATCH(ROW(찾을범위),ROW(찾을범위)),""),ROWS($A$1:G89)),COLUMNS($A$1:G89)),"")</x:f>
        <x:v/>
      </x:c>
      <x:c r="I90" s="14" t="str">
        <x:f t="array" ref="I90:I90">IFERROR(INDEX(출력범위,SMALL(IF((찾을값=찾을범위),MATCH(ROW(찾을범위),ROW(찾을범위)),""),ROWS($A$1:H89)),COLUMNS($A$1:H89)),"")</x:f>
        <x:v/>
      </x:c>
    </x:row>
    <x:row r="91" spans="1:9" ht="20.649999999999999">
      <x:c r="A91" s="173"/>
      <x:c r="B91" s="8" t="str">
        <x:f t="array" ref="B91:B91">IFERROR(INDEX(출력범위,SMALL(IF((찾을값=찾을범위),MATCH(ROW(찾을범위),ROW(찾을범위)),""),ROWS($A$1:A90)),COLUMNS($A$1:A90)),"")</x:f>
        <x:v/>
      </x:c>
      <x:c r="C91" s="8" t="str">
        <x:f t="array" ref="C91:C91">IFERROR(INDEX(출력범위,SMALL(IF((찾을값=찾을범위),MATCH(ROW(찾을범위),ROW(찾을범위)),""),ROWS($A$1:B90)),COLUMNS($A$1:B90)),"")</x:f>
        <x:v/>
      </x:c>
      <x:c r="D91" s="8" t="str">
        <x:f t="array" ref="D91:D91">IFERROR(INDEX(출력범위,SMALL(IF((찾을값=찾을범위),MATCH(ROW(찾을범위),ROW(찾을범위)),""),ROWS($A$1:C90)),COLUMNS($A$1:C90)),"")</x:f>
        <x:v/>
      </x:c>
      <x:c r="E91" s="8" t="str">
        <x:f t="array" ref="E91:E91">IFERROR(INDEX(출력범위,SMALL(IF((찾을값=찾을범위),MATCH(ROW(찾을범위),ROW(찾을범위)),""),ROWS($A$1:D90)),COLUMNS($A$1:D90)),"")</x:f>
        <x:v/>
      </x:c>
      <x:c r="F91" s="8" t="str">
        <x:f t="array" ref="F91:F91">IFERROR(INDEX(출력범위,SMALL(IF((찾을값=찾을범위),MATCH(ROW(찾을범위),ROW(찾을범위)),""),ROWS($A$1:E90)),COLUMNS($A$1:E90)),"")</x:f>
        <x:v/>
      </x:c>
      <x:c r="G91" s="9" t="str">
        <x:f t="array" ref="G91:G91">IFERROR(INDEX(출력범위,SMALL(IF((찾을값=찾을범위),MATCH(ROW(찾을범위),ROW(찾을범위)),""),ROWS($A$1:F90)),COLUMNS($A$1:F90)),"")</x:f>
        <x:v/>
      </x:c>
      <x:c r="H91" s="10" t="str">
        <x:f t="array" ref="H91:H91">IFERROR(INDEX(출력범위,SMALL(IF((찾을값=찾을범위),MATCH(ROW(찾을범위),ROW(찾을범위)),""),ROWS($A$1:G90)),COLUMNS($A$1:G90)),"")</x:f>
        <x:v/>
      </x:c>
      <x:c r="I91" s="11" t="str">
        <x:f t="array" ref="I91:I91">IFERROR(INDEX(출력범위,SMALL(IF((찾을값=찾을범위),MATCH(ROW(찾을범위),ROW(찾을범위)),""),ROWS($A$1:H90)),COLUMNS($A$1:H90)),"")</x:f>
        <x:v/>
      </x:c>
    </x:row>
    <x:row r="92" spans="1:9" ht="20.649999999999999">
      <x:c r="A92" s="172"/>
      <x:c r="B92" s="7" t="str">
        <x:f t="array" ref="B92:B92">IFERROR(INDEX(출력범위,SMALL(IF((찾을값=찾을범위),MATCH(ROW(찾을범위),ROW(찾을범위)),""),ROWS($A$1:A91)),COLUMNS($A$1:A91)),"")</x:f>
        <x:v/>
      </x:c>
      <x:c r="C92" s="7" t="str">
        <x:f t="array" ref="C92:C92">IFERROR(INDEX(출력범위,SMALL(IF((찾을값=찾을범위),MATCH(ROW(찾을범위),ROW(찾을범위)),""),ROWS($A$1:B91)),COLUMNS($A$1:B91)),"")</x:f>
        <x:v/>
      </x:c>
      <x:c r="D92" s="7" t="str">
        <x:f t="array" ref="D92:D92">IFERROR(INDEX(출력범위,SMALL(IF((찾을값=찾을범위),MATCH(ROW(찾을범위),ROW(찾을범위)),""),ROWS($A$1:C91)),COLUMNS($A$1:C91)),"")</x:f>
        <x:v/>
      </x:c>
      <x:c r="E92" s="7" t="str">
        <x:f t="array" ref="E92:E92">IFERROR(INDEX(출력범위,SMALL(IF((찾을값=찾을범위),MATCH(ROW(찾을범위),ROW(찾을범위)),""),ROWS($A$1:D91)),COLUMNS($A$1:D91)),"")</x:f>
        <x:v/>
      </x:c>
      <x:c r="F92" s="7" t="str">
        <x:f t="array" ref="F92:F92">IFERROR(INDEX(출력범위,SMALL(IF((찾을값=찾을범위),MATCH(ROW(찾을범위),ROW(찾을범위)),""),ROWS($A$1:E91)),COLUMNS($A$1:E91)),"")</x:f>
        <x:v/>
      </x:c>
      <x:c r="G92" s="12" t="str">
        <x:f t="array" ref="G92:G92">IFERROR(INDEX(출력범위,SMALL(IF((찾을값=찾을범위),MATCH(ROW(찾을범위),ROW(찾을범위)),""),ROWS($A$1:F91)),COLUMNS($A$1:F91)),"")</x:f>
        <x:v/>
      </x:c>
      <x:c r="H92" s="13" t="str">
        <x:f t="array" ref="H92:H92">IFERROR(INDEX(출력범위,SMALL(IF((찾을값=찾을범위),MATCH(ROW(찾을범위),ROW(찾을범위)),""),ROWS($A$1:G91)),COLUMNS($A$1:G91)),"")</x:f>
        <x:v/>
      </x:c>
      <x:c r="I92" s="14" t="str">
        <x:f t="array" ref="I92:I92">IFERROR(INDEX(출력범위,SMALL(IF((찾을값=찾을범위),MATCH(ROW(찾을범위),ROW(찾을범위)),""),ROWS($A$1:H91)),COLUMNS($A$1:H91)),"")</x:f>
        <x:v/>
      </x:c>
    </x:row>
    <x:row r="93" spans="1:9" ht="20.649999999999999">
      <x:c r="A93" s="173"/>
      <x:c r="B93" s="8" t="str">
        <x:f t="array" ref="B93:B93">IFERROR(INDEX(출력범위,SMALL(IF((찾을값=찾을범위),MATCH(ROW(찾을범위),ROW(찾을범위)),""),ROWS($A$1:A92)),COLUMNS($A$1:A92)),"")</x:f>
        <x:v/>
      </x:c>
      <x:c r="C93" s="8" t="str">
        <x:f t="array" ref="C93:C93">IFERROR(INDEX(출력범위,SMALL(IF((찾을값=찾을범위),MATCH(ROW(찾을범위),ROW(찾을범위)),""),ROWS($A$1:B92)),COLUMNS($A$1:B92)),"")</x:f>
        <x:v/>
      </x:c>
      <x:c r="D93" s="8" t="str">
        <x:f t="array" ref="D93:D93">IFERROR(INDEX(출력범위,SMALL(IF((찾을값=찾을범위),MATCH(ROW(찾을범위),ROW(찾을범위)),""),ROWS($A$1:C92)),COLUMNS($A$1:C92)),"")</x:f>
        <x:v/>
      </x:c>
      <x:c r="E93" s="8" t="str">
        <x:f t="array" ref="E93:E93">IFERROR(INDEX(출력범위,SMALL(IF((찾을값=찾을범위),MATCH(ROW(찾을범위),ROW(찾을범위)),""),ROWS($A$1:D92)),COLUMNS($A$1:D92)),"")</x:f>
        <x:v/>
      </x:c>
      <x:c r="F93" s="8" t="str">
        <x:f t="array" ref="F93:F93">IFERROR(INDEX(출력범위,SMALL(IF((찾을값=찾을범위),MATCH(ROW(찾을범위),ROW(찾을범위)),""),ROWS($A$1:E92)),COLUMNS($A$1:E92)),"")</x:f>
        <x:v/>
      </x:c>
      <x:c r="G93" s="9" t="str">
        <x:f t="array" ref="G93:G93">IFERROR(INDEX(출력범위,SMALL(IF((찾을값=찾을범위),MATCH(ROW(찾을범위),ROW(찾을범위)),""),ROWS($A$1:F92)),COLUMNS($A$1:F92)),"")</x:f>
        <x:v/>
      </x:c>
      <x:c r="H93" s="10" t="str">
        <x:f t="array" ref="H93:H93">IFERROR(INDEX(출력범위,SMALL(IF((찾을값=찾을범위),MATCH(ROW(찾을범위),ROW(찾을범위)),""),ROWS($A$1:G92)),COLUMNS($A$1:G92)),"")</x:f>
        <x:v/>
      </x:c>
      <x:c r="I93" s="11" t="str">
        <x:f t="array" ref="I93:I93">IFERROR(INDEX(출력범위,SMALL(IF((찾을값=찾을범위),MATCH(ROW(찾을범위),ROW(찾을범위)),""),ROWS($A$1:H92)),COLUMNS($A$1:H92)),"")</x:f>
        <x:v/>
      </x:c>
    </x:row>
    <x:row r="94" spans="1:9" ht="20.649999999999999">
      <x:c r="A94" s="172"/>
      <x:c r="B94" s="7" t="str">
        <x:f t="array" ref="B94:B94">IFERROR(INDEX(출력범위,SMALL(IF((찾을값=찾을범위),MATCH(ROW(찾을범위),ROW(찾을범위)),""),ROWS($A$1:A93)),COLUMNS($A$1:A93)),"")</x:f>
        <x:v/>
      </x:c>
      <x:c r="C94" s="7" t="str">
        <x:f t="array" ref="C94:C94">IFERROR(INDEX(출력범위,SMALL(IF((찾을값=찾을범위),MATCH(ROW(찾을범위),ROW(찾을범위)),""),ROWS($A$1:B93)),COLUMNS($A$1:B93)),"")</x:f>
        <x:v/>
      </x:c>
      <x:c r="D94" s="7" t="str">
        <x:f t="array" ref="D94:D94">IFERROR(INDEX(출력범위,SMALL(IF((찾을값=찾을범위),MATCH(ROW(찾을범위),ROW(찾을범위)),""),ROWS($A$1:C93)),COLUMNS($A$1:C93)),"")</x:f>
        <x:v/>
      </x:c>
      <x:c r="E94" s="7" t="str">
        <x:f t="array" ref="E94:E94">IFERROR(INDEX(출력범위,SMALL(IF((찾을값=찾을범위),MATCH(ROW(찾을범위),ROW(찾을범위)),""),ROWS($A$1:D93)),COLUMNS($A$1:D93)),"")</x:f>
        <x:v/>
      </x:c>
      <x:c r="F94" s="7" t="str">
        <x:f t="array" ref="F94:F94">IFERROR(INDEX(출력범위,SMALL(IF((찾을값=찾을범위),MATCH(ROW(찾을범위),ROW(찾을범위)),""),ROWS($A$1:E93)),COLUMNS($A$1:E93)),"")</x:f>
        <x:v/>
      </x:c>
      <x:c r="G94" s="12" t="str">
        <x:f t="array" ref="G94:G94">IFERROR(INDEX(출력범위,SMALL(IF((찾을값=찾을범위),MATCH(ROW(찾을범위),ROW(찾을범위)),""),ROWS($A$1:F93)),COLUMNS($A$1:F93)),"")</x:f>
        <x:v/>
      </x:c>
      <x:c r="H94" s="13" t="str">
        <x:f t="array" ref="H94:H94">IFERROR(INDEX(출력범위,SMALL(IF((찾을값=찾을범위),MATCH(ROW(찾을범위),ROW(찾을범위)),""),ROWS($A$1:G93)),COLUMNS($A$1:G93)),"")</x:f>
        <x:v/>
      </x:c>
      <x:c r="I94" s="14" t="str">
        <x:f t="array" ref="I94:I94">IFERROR(INDEX(출력범위,SMALL(IF((찾을값=찾을범위),MATCH(ROW(찾을범위),ROW(찾을범위)),""),ROWS($A$1:H93)),COLUMNS($A$1:H93)),"")</x:f>
        <x:v/>
      </x:c>
    </x:row>
    <x:row r="95" spans="1:9" ht="20.649999999999999">
      <x:c r="A95" s="173"/>
      <x:c r="B95" s="8" t="str">
        <x:f t="array" ref="B95:B95">IFERROR(INDEX(출력범위,SMALL(IF((찾을값=찾을범위),MATCH(ROW(찾을범위),ROW(찾을범위)),""),ROWS($A$1:A94)),COLUMNS($A$1:A94)),"")</x:f>
        <x:v/>
      </x:c>
      <x:c r="C95" s="8" t="str">
        <x:f t="array" ref="C95:C95">IFERROR(INDEX(출력범위,SMALL(IF((찾을값=찾을범위),MATCH(ROW(찾을범위),ROW(찾을범위)),""),ROWS($A$1:B94)),COLUMNS($A$1:B94)),"")</x:f>
        <x:v/>
      </x:c>
      <x:c r="D95" s="8" t="str">
        <x:f t="array" ref="D95:D95">IFERROR(INDEX(출력범위,SMALL(IF((찾을값=찾을범위),MATCH(ROW(찾을범위),ROW(찾을범위)),""),ROWS($A$1:C94)),COLUMNS($A$1:C94)),"")</x:f>
        <x:v/>
      </x:c>
      <x:c r="E95" s="8" t="str">
        <x:f t="array" ref="E95:E95">IFERROR(INDEX(출력범위,SMALL(IF((찾을값=찾을범위),MATCH(ROW(찾을범위),ROW(찾을범위)),""),ROWS($A$1:D94)),COLUMNS($A$1:D94)),"")</x:f>
        <x:v/>
      </x:c>
      <x:c r="F95" s="8" t="str">
        <x:f t="array" ref="F95:F95">IFERROR(INDEX(출력범위,SMALL(IF((찾을값=찾을범위),MATCH(ROW(찾을범위),ROW(찾을범위)),""),ROWS($A$1:E94)),COLUMNS($A$1:E94)),"")</x:f>
        <x:v/>
      </x:c>
      <x:c r="G95" s="9" t="str">
        <x:f t="array" ref="G95:G95">IFERROR(INDEX(출력범위,SMALL(IF((찾을값=찾을범위),MATCH(ROW(찾을범위),ROW(찾을범위)),""),ROWS($A$1:F94)),COLUMNS($A$1:F94)),"")</x:f>
        <x:v/>
      </x:c>
      <x:c r="H95" s="10" t="str">
        <x:f t="array" ref="H95:H95">IFERROR(INDEX(출력범위,SMALL(IF((찾을값=찾을범위),MATCH(ROW(찾을범위),ROW(찾을범위)),""),ROWS($A$1:G94)),COLUMNS($A$1:G94)),"")</x:f>
        <x:v/>
      </x:c>
      <x:c r="I95" s="11" t="str">
        <x:f t="array" ref="I95:I95">IFERROR(INDEX(출력범위,SMALL(IF((찾을값=찾을범위),MATCH(ROW(찾을범위),ROW(찾을범위)),""),ROWS($A$1:H94)),COLUMNS($A$1:H94)),"")</x:f>
        <x:v/>
      </x:c>
    </x:row>
    <x:row r="96" spans="1:9" ht="20.649999999999999">
      <x:c r="A96" s="172"/>
      <x:c r="B96" s="7" t="str">
        <x:f t="array" ref="B96:B96">IFERROR(INDEX(출력범위,SMALL(IF((찾을값=찾을범위),MATCH(ROW(찾을범위),ROW(찾을범위)),""),ROWS($A$1:A95)),COLUMNS($A$1:A95)),"")</x:f>
        <x:v/>
      </x:c>
      <x:c r="C96" s="7" t="str">
        <x:f t="array" ref="C96:C96">IFERROR(INDEX(출력범위,SMALL(IF((찾을값=찾을범위),MATCH(ROW(찾을범위),ROW(찾을범위)),""),ROWS($A$1:B95)),COLUMNS($A$1:B95)),"")</x:f>
        <x:v/>
      </x:c>
      <x:c r="D96" s="7" t="str">
        <x:f t="array" ref="D96:D96">IFERROR(INDEX(출력범위,SMALL(IF((찾을값=찾을범위),MATCH(ROW(찾을범위),ROW(찾을범위)),""),ROWS($A$1:C95)),COLUMNS($A$1:C95)),"")</x:f>
        <x:v/>
      </x:c>
      <x:c r="E96" s="7" t="str">
        <x:f t="array" ref="E96:E96">IFERROR(INDEX(출력범위,SMALL(IF((찾을값=찾을범위),MATCH(ROW(찾을범위),ROW(찾을범위)),""),ROWS($A$1:D95)),COLUMNS($A$1:D95)),"")</x:f>
        <x:v/>
      </x:c>
      <x:c r="F96" s="7" t="str">
        <x:f t="array" ref="F96:F96">IFERROR(INDEX(출력범위,SMALL(IF((찾을값=찾을범위),MATCH(ROW(찾을범위),ROW(찾을범위)),""),ROWS($A$1:E95)),COLUMNS($A$1:E95)),"")</x:f>
        <x:v/>
      </x:c>
      <x:c r="G96" s="12" t="str">
        <x:f t="array" ref="G96:G96">IFERROR(INDEX(출력범위,SMALL(IF((찾을값=찾을범위),MATCH(ROW(찾을범위),ROW(찾을범위)),""),ROWS($A$1:F95)),COLUMNS($A$1:F95)),"")</x:f>
        <x:v/>
      </x:c>
      <x:c r="H96" s="13" t="str">
        <x:f t="array" ref="H96:H96">IFERROR(INDEX(출력범위,SMALL(IF((찾을값=찾을범위),MATCH(ROW(찾을범위),ROW(찾을범위)),""),ROWS($A$1:G95)),COLUMNS($A$1:G95)),"")</x:f>
        <x:v/>
      </x:c>
      <x:c r="I96" s="14" t="str">
        <x:f t="array" ref="I96:I96">IFERROR(INDEX(출력범위,SMALL(IF((찾을값=찾을범위),MATCH(ROW(찾을범위),ROW(찾을범위)),""),ROWS($A$1:H95)),COLUMNS($A$1:H95)),"")</x:f>
        <x:v/>
      </x:c>
    </x:row>
    <x:row r="97" spans="1:9" ht="20.649999999999999">
      <x:c r="A97" s="173"/>
      <x:c r="B97" s="8" t="str">
        <x:f t="array" ref="B97:B97">IFERROR(INDEX(출력범위,SMALL(IF((찾을값=찾을범위),MATCH(ROW(찾을범위),ROW(찾을범위)),""),ROWS($A$1:A96)),COLUMNS($A$1:A96)),"")</x:f>
        <x:v/>
      </x:c>
      <x:c r="C97" s="8" t="str">
        <x:f t="array" ref="C97:C97">IFERROR(INDEX(출력범위,SMALL(IF((찾을값=찾을범위),MATCH(ROW(찾을범위),ROW(찾을범위)),""),ROWS($A$1:B96)),COLUMNS($A$1:B96)),"")</x:f>
        <x:v/>
      </x:c>
      <x:c r="D97" s="8" t="str">
        <x:f t="array" ref="D97:D97">IFERROR(INDEX(출력범위,SMALL(IF((찾을값=찾을범위),MATCH(ROW(찾을범위),ROW(찾을범위)),""),ROWS($A$1:C96)),COLUMNS($A$1:C96)),"")</x:f>
        <x:v/>
      </x:c>
      <x:c r="E97" s="8" t="str">
        <x:f t="array" ref="E97:E97">IFERROR(INDEX(출력범위,SMALL(IF((찾을값=찾을범위),MATCH(ROW(찾을범위),ROW(찾을범위)),""),ROWS($A$1:D96)),COLUMNS($A$1:D96)),"")</x:f>
        <x:v/>
      </x:c>
      <x:c r="F97" s="8" t="str">
        <x:f t="array" ref="F97:F97">IFERROR(INDEX(출력범위,SMALL(IF((찾을값=찾을범위),MATCH(ROW(찾을범위),ROW(찾을범위)),""),ROWS($A$1:E96)),COLUMNS($A$1:E96)),"")</x:f>
        <x:v/>
      </x:c>
      <x:c r="G97" s="9" t="str">
        <x:f t="array" ref="G97:G97">IFERROR(INDEX(출력범위,SMALL(IF((찾을값=찾을범위),MATCH(ROW(찾을범위),ROW(찾을범위)),""),ROWS($A$1:F96)),COLUMNS($A$1:F96)),"")</x:f>
        <x:v/>
      </x:c>
      <x:c r="H97" s="10" t="str">
        <x:f t="array" ref="H97:H97">IFERROR(INDEX(출력범위,SMALL(IF((찾을값=찾을범위),MATCH(ROW(찾을범위),ROW(찾을범위)),""),ROWS($A$1:G96)),COLUMNS($A$1:G96)),"")</x:f>
        <x:v/>
      </x:c>
      <x:c r="I97" s="11" t="str">
        <x:f t="array" ref="I97:I97">IFERROR(INDEX(출력범위,SMALL(IF((찾을값=찾을범위),MATCH(ROW(찾을범위),ROW(찾을범위)),""),ROWS($A$1:H96)),COLUMNS($A$1:H96)),"")</x:f>
        <x:v/>
      </x:c>
    </x:row>
    <x:row r="98" spans="1:9" ht="20.649999999999999">
      <x:c r="A98" s="172"/>
      <x:c r="B98" s="7" t="str">
        <x:f t="array" ref="B98:B98">IFERROR(INDEX(출력범위,SMALL(IF((찾을값=찾을범위),MATCH(ROW(찾을범위),ROW(찾을범위)),""),ROWS($A$1:A97)),COLUMNS($A$1:A97)),"")</x:f>
        <x:v/>
      </x:c>
      <x:c r="C98" s="7" t="str">
        <x:f t="array" ref="C98:C98">IFERROR(INDEX(출력범위,SMALL(IF((찾을값=찾을범위),MATCH(ROW(찾을범위),ROW(찾을범위)),""),ROWS($A$1:B97)),COLUMNS($A$1:B97)),"")</x:f>
        <x:v/>
      </x:c>
      <x:c r="D98" s="7" t="str">
        <x:f t="array" ref="D98:D98">IFERROR(INDEX(출력범위,SMALL(IF((찾을값=찾을범위),MATCH(ROW(찾을범위),ROW(찾을범위)),""),ROWS($A$1:C97)),COLUMNS($A$1:C97)),"")</x:f>
        <x:v/>
      </x:c>
      <x:c r="E98" s="7" t="str">
        <x:f t="array" ref="E98:E98">IFERROR(INDEX(출력범위,SMALL(IF((찾을값=찾을범위),MATCH(ROW(찾을범위),ROW(찾을범위)),""),ROWS($A$1:D97)),COLUMNS($A$1:D97)),"")</x:f>
        <x:v/>
      </x:c>
      <x:c r="F98" s="7" t="str">
        <x:f t="array" ref="F98:F98">IFERROR(INDEX(출력범위,SMALL(IF((찾을값=찾을범위),MATCH(ROW(찾을범위),ROW(찾을범위)),""),ROWS($A$1:E97)),COLUMNS($A$1:E97)),"")</x:f>
        <x:v/>
      </x:c>
      <x:c r="G98" s="12" t="str">
        <x:f t="array" ref="G98:G98">IFERROR(INDEX(출력범위,SMALL(IF((찾을값=찾을범위),MATCH(ROW(찾을범위),ROW(찾을범위)),""),ROWS($A$1:F97)),COLUMNS($A$1:F97)),"")</x:f>
        <x:v/>
      </x:c>
      <x:c r="H98" s="13" t="str">
        <x:f t="array" ref="H98:H98">IFERROR(INDEX(출력범위,SMALL(IF((찾을값=찾을범위),MATCH(ROW(찾을범위),ROW(찾을범위)),""),ROWS($A$1:G97)),COLUMNS($A$1:G97)),"")</x:f>
        <x:v/>
      </x:c>
      <x:c r="I98" s="14" t="str">
        <x:f t="array" ref="I98:I98">IFERROR(INDEX(출력범위,SMALL(IF((찾을값=찾을범위),MATCH(ROW(찾을범위),ROW(찾을범위)),""),ROWS($A$1:H97)),COLUMNS($A$1:H97)),"")</x:f>
        <x:v/>
      </x:c>
    </x:row>
    <x:row r="99" spans="1:9" ht="20.649999999999999">
      <x:c r="A99" s="173"/>
      <x:c r="B99" s="8" t="str">
        <x:f t="array" ref="B99:B99">IFERROR(INDEX(출력범위,SMALL(IF((찾을값=찾을범위),MATCH(ROW(찾을범위),ROW(찾을범위)),""),ROWS($A$1:A98)),COLUMNS($A$1:A98)),"")</x:f>
        <x:v/>
      </x:c>
      <x:c r="C99" s="8" t="str">
        <x:f t="array" ref="C99:C99">IFERROR(INDEX(출력범위,SMALL(IF((찾을값=찾을범위),MATCH(ROW(찾을범위),ROW(찾을범위)),""),ROWS($A$1:B98)),COLUMNS($A$1:B98)),"")</x:f>
        <x:v/>
      </x:c>
      <x:c r="D99" s="8" t="str">
        <x:f t="array" ref="D99:D99">IFERROR(INDEX(출력범위,SMALL(IF((찾을값=찾을범위),MATCH(ROW(찾을범위),ROW(찾을범위)),""),ROWS($A$1:C98)),COLUMNS($A$1:C98)),"")</x:f>
        <x:v/>
      </x:c>
      <x:c r="E99" s="8" t="str">
        <x:f t="array" ref="E99:E99">IFERROR(INDEX(출력범위,SMALL(IF((찾을값=찾을범위),MATCH(ROW(찾을범위),ROW(찾을범위)),""),ROWS($A$1:D98)),COLUMNS($A$1:D98)),"")</x:f>
        <x:v/>
      </x:c>
      <x:c r="F99" s="8" t="str">
        <x:f t="array" ref="F99:F99">IFERROR(INDEX(출력범위,SMALL(IF((찾을값=찾을범위),MATCH(ROW(찾을범위),ROW(찾을범위)),""),ROWS($A$1:E98)),COLUMNS($A$1:E98)),"")</x:f>
        <x:v/>
      </x:c>
      <x:c r="G99" s="9" t="str">
        <x:f t="array" ref="G99:G99">IFERROR(INDEX(출력범위,SMALL(IF((찾을값=찾을범위),MATCH(ROW(찾을범위),ROW(찾을범위)),""),ROWS($A$1:F98)),COLUMNS($A$1:F98)),"")</x:f>
        <x:v/>
      </x:c>
      <x:c r="H99" s="10" t="str">
        <x:f t="array" ref="H99:H99">IFERROR(INDEX(출력범위,SMALL(IF((찾을값=찾을범위),MATCH(ROW(찾을범위),ROW(찾을범위)),""),ROWS($A$1:G98)),COLUMNS($A$1:G98)),"")</x:f>
        <x:v/>
      </x:c>
      <x:c r="I99" s="11" t="str">
        <x:f t="array" ref="I99:I99">IFERROR(INDEX(출력범위,SMALL(IF((찾을값=찾을범위),MATCH(ROW(찾을범위),ROW(찾을범위)),""),ROWS($A$1:H98)),COLUMNS($A$1:H98)),"")</x:f>
        <x:v/>
      </x:c>
    </x:row>
    <x:row r="100" spans="1:9" ht="20.649999999999999">
      <x:c r="A100" s="174"/>
      <x:c r="B100" s="7" t="str">
        <x:f t="array" ref="B100:B100">IFERROR(INDEX(출력범위,SMALL(IF((찾을값=찾을범위),MATCH(ROW(찾을범위),ROW(찾을범위)),""),ROWS($A$1:A99)),COLUMNS($A$1:A99)),"")</x:f>
        <x:v/>
      </x:c>
      <x:c r="C100" s="7" t="str">
        <x:f t="array" ref="C100:C100">IFERROR(INDEX(출력범위,SMALL(IF((찾을값=찾을범위),MATCH(ROW(찾을범위),ROW(찾을범위)),""),ROWS($A$1:B99)),COLUMNS($A$1:B99)),"")</x:f>
        <x:v/>
      </x:c>
      <x:c r="D100" s="7" t="str">
        <x:f t="array" ref="D100:D100">IFERROR(INDEX(출력범위,SMALL(IF((찾을값=찾을범위),MATCH(ROW(찾을범위),ROW(찾을범위)),""),ROWS($A$1:C99)),COLUMNS($A$1:C99)),"")</x:f>
        <x:v/>
      </x:c>
      <x:c r="E100" s="7" t="str">
        <x:f t="array" ref="E100:E100">IFERROR(INDEX(출력범위,SMALL(IF((찾을값=찾을범위),MATCH(ROW(찾을범위),ROW(찾을범위)),""),ROWS($A$1:D99)),COLUMNS($A$1:D99)),"")</x:f>
        <x:v/>
      </x:c>
      <x:c r="F100" s="7" t="str">
        <x:f t="array" ref="F100:F100">IFERROR(INDEX(출력범위,SMALL(IF((찾을값=찾을범위),MATCH(ROW(찾을범위),ROW(찾을범위)),""),ROWS($A$1:E99)),COLUMNS($A$1:E99)),"")</x:f>
        <x:v/>
      </x:c>
      <x:c r="G100" s="12" t="str">
        <x:f t="array" ref="G100:G100">IFERROR(INDEX(출력범위,SMALL(IF((찾을값=찾을범위),MATCH(ROW(찾을범위),ROW(찾을범위)),""),ROWS($A$1:F99)),COLUMNS($A$1:F99)),"")</x:f>
        <x:v/>
      </x:c>
      <x:c r="H100" s="13" t="str">
        <x:f t="array" ref="H100:H100">IFERROR(INDEX(출력범위,SMALL(IF((찾을값=찾을범위),MATCH(ROW(찾을범위),ROW(찾을범위)),""),ROWS($A$1:G99)),COLUMNS($A$1:G99)),"")</x:f>
        <x:v/>
      </x:c>
      <x:c r="I100" s="14" t="str">
        <x:f t="array" ref="I100:I100">IFERROR(INDEX(출력범위,SMALL(IF((찾을값=찾을범위),MATCH(ROW(찾을범위),ROW(찾을범위)),""),ROWS($A$1:H99)),COLUMNS($A$1:H99)),"")</x:f>
        <x:v/>
      </x:c>
    </x:row>
  </x:sheetData>
  <x:mergeCells count="1">
    <x:mergeCell ref="A3:A100"/>
  </x:mergeCells>
  <x:dataValidations count="1">
    <x:dataValidation type="list" allowBlank="1" sqref="A2:A2">
      <x:formula1>재고장!$A$2:$A100</x:formula1>
    </x:dataValidation>
  </x:dataValidation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>
    <x:tabColor rgb="ffff0000"/>
    <x:pageSetUpPr autoPageBreaks="1" fitToPage="1"/>
  </x:sheetPr>
  <x:dimension ref="A1:M733"/>
  <x:sheetViews>
    <x:sheetView tabSelected="1" topLeftCell="D1" zoomScale="60" zoomScaleNormal="60" zoomScaleSheetLayoutView="75" workbookViewId="0">
      <x:pane xSplit="0" ySplit="1" topLeftCell="D152" activePane="bottomLeft" state="frozen"/>
      <x:selection pane="bottomLeft" activeCell="F164" activeCellId="0" sqref="F164:F164"/>
    </x:sheetView>
  </x:sheetViews>
  <x:sheetFormatPr defaultColWidth="12.62890625" defaultRowHeight="15.75" customHeight="1"/>
  <x:cols>
    <x:col min="1" max="1" width="23.75" style="1" customWidth="1"/>
    <x:col min="2" max="2" width="24.12890625" style="1" customWidth="1"/>
    <x:col min="3" max="3" width="11.87890625" style="121" customWidth="1"/>
    <x:col min="4" max="4" width="20.37890625" style="121" customWidth="1"/>
    <x:col min="5" max="5" width="11" style="155" customWidth="1"/>
    <x:col min="6" max="6" width="28.62890625" style="1" customWidth="1"/>
    <x:col min="7" max="7" width="16.5" style="1" customWidth="1"/>
    <x:col min="8" max="8" width="15.12890625" style="139" customWidth="1"/>
    <x:col min="9" max="9" width="8.5" style="121" customWidth="1"/>
    <x:col min="10" max="10" width="15.12890625" style="121" customWidth="1"/>
    <x:col min="11" max="11" width="27.12890625" style="1" customWidth="1"/>
    <x:col min="12" max="13" width="15.12890625" style="121" customWidth="1"/>
  </x:cols>
  <x:sheetData>
    <x:row r="1" spans="1:13" ht="27.75" customHeight="1">
      <x:c r="A1" s="18" t="s">
        <x:v>742</x:v>
      </x:c>
      <x:c r="B1" s="18" t="s">
        <x:v>623</x:v>
      </x:c>
      <x:c r="C1" s="122" t="s">
        <x:v>619</x:v>
      </x:c>
      <x:c r="D1" s="122" t="s">
        <x:v>530</x:v>
      </x:c>
      <x:c r="E1" s="156" t="s">
        <x:v>491</x:v>
      </x:c>
      <x:c r="F1" s="18" t="s">
        <x:v>526</x:v>
      </x:c>
      <x:c r="G1" s="18" t="s">
        <x:v>645</x:v>
      </x:c>
      <x:c r="H1" s="140" t="s">
        <x:v>545</x:v>
      </x:c>
      <x:c r="I1" s="122" t="s">
        <x:v>517</x:v>
      </x:c>
      <x:c r="J1" s="122" t="s">
        <x:v>563</x:v>
      </x:c>
      <x:c r="K1" s="19" t="s">
        <x:v>741</x:v>
      </x:c>
      <x:c r="L1" s="122" t="s">
        <x:v>655</x:v>
      </x:c>
      <x:c r="M1" s="122" t="s">
        <x:v>529</x:v>
      </x:c>
    </x:row>
    <x:row r="2" spans="1:13" ht="22.050000000000001">
      <x:c r="A2" s="20" t="s">
        <x:v>695</x:v>
      </x:c>
      <x:c r="B2" s="20" t="s">
        <x:v>311</x:v>
      </x:c>
      <x:c r="C2" s="123" t="s">
        <x:v>667</x:v>
      </x:c>
      <x:c r="D2" s="123">
        <x:v>294</x:v>
      </x:c>
      <x:c r="E2" s="157">
        <x:v>50</x:v>
      </x:c>
      <x:c r="F2" s="20" t="s">
        <x:v>26</x:v>
      </x:c>
      <x:c r="G2" s="20" t="s">
        <x:v>639</x:v>
      </x:c>
      <x:c r="H2" s="141">
        <x:v>46361</x:v>
      </x:c>
      <x:c r="I2" s="123">
        <x:v>15</x:v>
      </x:c>
      <x:c r="J2" s="127"/>
      <x:c r="K2" s="22"/>
      <x:c r="L2" s="127"/>
      <x:c r="M2" s="127"/>
    </x:row>
    <x:row r="3" spans="1:13" ht="22.050000000000001">
      <x:c r="A3" s="23" t="s">
        <x:v>695</x:v>
      </x:c>
      <x:c r="B3" s="23" t="s">
        <x:v>311</x:v>
      </x:c>
      <x:c r="C3" s="124" t="s">
        <x:v>667</x:v>
      </x:c>
      <x:c r="D3" s="124">
        <x:v>294</x:v>
      </x:c>
      <x:c r="E3" s="158">
        <x:v>116</x:v>
      </x:c>
      <x:c r="F3" s="23" t="s">
        <x:v>26</x:v>
      </x:c>
      <x:c r="G3" s="23" t="s">
        <x:v>639</x:v>
      </x:c>
      <x:c r="H3" s="142">
        <x:v>46361</x:v>
      </x:c>
      <x:c r="I3" s="124">
        <x:v>15</x:v>
      </x:c>
      <x:c r="J3" s="125"/>
      <x:c r="K3" s="25"/>
      <x:c r="L3" s="127"/>
      <x:c r="M3" s="127"/>
    </x:row>
    <x:row r="4" spans="1:13" ht="22.050000000000001">
      <x:c r="A4" s="20" t="s">
        <x:v>695</x:v>
      </x:c>
      <x:c r="B4" s="20" t="s">
        <x:v>311</x:v>
      </x:c>
      <x:c r="C4" s="123" t="s">
        <x:v>667</x:v>
      </x:c>
      <x:c r="D4" s="123">
        <x:v>294</x:v>
      </x:c>
      <x:c r="E4" s="157">
        <x:v>730</x:v>
      </x:c>
      <x:c r="F4" s="20" t="s">
        <x:v>60</x:v>
      </x:c>
      <x:c r="G4" s="20" t="s">
        <x:v>639</x:v>
      </x:c>
      <x:c r="H4" s="141">
        <x:v>46394</x:v>
      </x:c>
      <x:c r="I4" s="123">
        <x:v>15</x:v>
      </x:c>
      <x:c r="J4" s="127"/>
      <x:c r="K4" s="22"/>
      <x:c r="L4" s="127"/>
      <x:c r="M4" s="127"/>
    </x:row>
    <x:row r="5" spans="1:13" ht="22.050000000000001">
      <x:c r="A5" s="23" t="s">
        <x:v>695</x:v>
      </x:c>
      <x:c r="B5" s="23" t="s">
        <x:v>311</x:v>
      </x:c>
      <x:c r="C5" s="124" t="s">
        <x:v>667</x:v>
      </x:c>
      <x:c r="D5" s="124">
        <x:v>291</x:v>
      </x:c>
      <x:c r="E5" s="158">
        <x:v>99</x:v>
      </x:c>
      <x:c r="F5" s="23" t="s">
        <x:v>1038</x:v>
      </x:c>
      <x:c r="G5" s="23" t="s">
        <x:v>617</x:v>
      </x:c>
      <x:c r="H5" s="142">
        <x:v>46567</x:v>
      </x:c>
      <x:c r="I5" s="124">
        <x:v>15</x:v>
      </x:c>
      <x:c r="J5" s="125"/>
      <x:c r="K5" s="25"/>
      <x:c r="L5" s="127"/>
      <x:c r="M5" s="127"/>
    </x:row>
    <x:row r="6" spans="1:13" ht="22.050000000000001">
      <x:c r="A6" s="20" t="s">
        <x:v>695</x:v>
      </x:c>
      <x:c r="B6" s="20" t="s">
        <x:v>311</x:v>
      </x:c>
      <x:c r="C6" s="123" t="s">
        <x:v>667</x:v>
      </x:c>
      <x:c r="D6" s="123">
        <x:v>291</x:v>
      </x:c>
      <x:c r="E6" s="157">
        <x:v>439</x:v>
      </x:c>
      <x:c r="F6" s="20" t="s">
        <x:v>277</x:v>
      </x:c>
      <x:c r="G6" s="20" t="s">
        <x:v>617</x:v>
      </x:c>
      <x:c r="H6" s="141">
        <x:v>46604</x:v>
      </x:c>
      <x:c r="I6" s="123">
        <x:v>15</x:v>
      </x:c>
      <x:c r="J6" s="127"/>
      <x:c r="K6" s="22"/>
      <x:c r="L6" s="127"/>
      <x:c r="M6" s="127"/>
    </x:row>
    <x:row r="7" spans="1:13" ht="22.050000000000001">
      <x:c r="A7" s="23" t="s">
        <x:v>695</x:v>
      </x:c>
      <x:c r="B7" s="23" t="s">
        <x:v>311</x:v>
      </x:c>
      <x:c r="C7" s="124" t="s">
        <x:v>667</x:v>
      </x:c>
      <x:c r="D7" s="124">
        <x:v>291</x:v>
      </x:c>
      <x:c r="E7" s="158">
        <x:v>429</x:v>
      </x:c>
      <x:c r="F7" s="23" t="s">
        <x:v>865</x:v>
      </x:c>
      <x:c r="G7" s="23" t="s">
        <x:v>617</x:v>
      </x:c>
      <x:c r="H7" s="142">
        <x:v>46640</x:v>
      </x:c>
      <x:c r="I7" s="124">
        <x:v>15</x:v>
      </x:c>
      <x:c r="J7" s="125"/>
      <x:c r="K7" s="25"/>
      <x:c r="L7" s="127"/>
      <x:c r="M7" s="127"/>
    </x:row>
    <x:row r="8" spans="1:13" ht="22.050000000000001">
      <x:c r="A8" s="20" t="s">
        <x:v>695</x:v>
      </x:c>
      <x:c r="B8" s="20" t="s">
        <x:v>311</x:v>
      </x:c>
      <x:c r="C8" s="123" t="s">
        <x:v>667</x:v>
      </x:c>
      <x:c r="D8" s="123">
        <x:v>291</x:v>
      </x:c>
      <x:c r="E8" s="157">
        <x:v>391</x:v>
      </x:c>
      <x:c r="F8" s="20" t="s">
        <x:v>821</x:v>
      </x:c>
      <x:c r="G8" s="20" t="s">
        <x:v>617</x:v>
      </x:c>
      <x:c r="H8" s="141">
        <x:v>46704</x:v>
      </x:c>
      <x:c r="I8" s="123">
        <x:v>15</x:v>
      </x:c>
      <x:c r="J8" s="127"/>
      <x:c r="K8" s="22"/>
      <x:c r="L8" s="127"/>
      <x:c r="M8" s="127"/>
    </x:row>
    <x:row r="9" spans="1:13" ht="22.050000000000001">
      <x:c r="A9" s="23" t="s">
        <x:v>695</x:v>
      </x:c>
      <x:c r="B9" s="23" t="s">
        <x:v>311</x:v>
      </x:c>
      <x:c r="C9" s="124" t="s">
        <x:v>692</x:v>
      </x:c>
      <x:c r="D9" s="124">
        <x:v>294</x:v>
      </x:c>
      <x:c r="E9" s="158">
        <x:v>519</x:v>
      </x:c>
      <x:c r="F9" s="23" t="s">
        <x:v>880</x:v>
      </x:c>
      <x:c r="G9" s="23" t="s">
        <x:v>639</x:v>
      </x:c>
      <x:c r="H9" s="142">
        <x:v>46266</x:v>
      </x:c>
      <x:c r="I9" s="124">
        <x:v>15</x:v>
      </x:c>
      <x:c r="J9" s="125"/>
      <x:c r="K9" s="25"/>
      <x:c r="L9" s="127"/>
      <x:c r="M9" s="127"/>
    </x:row>
    <x:row r="10" spans="1:13" ht="22.050000000000001">
      <x:c r="A10" s="20" t="s">
        <x:v>695</x:v>
      </x:c>
      <x:c r="B10" s="20" t="s">
        <x:v>311</x:v>
      </x:c>
      <x:c r="C10" s="123" t="s">
        <x:v>692</x:v>
      </x:c>
      <x:c r="D10" s="123">
        <x:v>294</x:v>
      </x:c>
      <x:c r="E10" s="157">
        <x:v>352</x:v>
      </x:c>
      <x:c r="F10" s="20" t="s">
        <x:v>26</x:v>
      </x:c>
      <x:c r="G10" s="20" t="s">
        <x:v>639</x:v>
      </x:c>
      <x:c r="H10" s="141">
        <x:v>46361</x:v>
      </x:c>
      <x:c r="I10" s="123">
        <x:v>15</x:v>
      </x:c>
      <x:c r="J10" s="127"/>
      <x:c r="K10" s="22"/>
      <x:c r="L10" s="127"/>
      <x:c r="M10" s="127"/>
    </x:row>
    <x:row r="11" spans="1:13" ht="22.050000000000001">
      <x:c r="A11" s="23" t="s">
        <x:v>695</x:v>
      </x:c>
      <x:c r="B11" s="23" t="s">
        <x:v>311</x:v>
      </x:c>
      <x:c r="C11" s="124" t="s">
        <x:v>692</x:v>
      </x:c>
      <x:c r="D11" s="124">
        <x:v>291</x:v>
      </x:c>
      <x:c r="E11" s="158">
        <x:v>10</x:v>
      </x:c>
      <x:c r="F11" s="23" t="s">
        <x:v>856</x:v>
      </x:c>
      <x:c r="G11" s="23" t="s">
        <x:v>309</x:v>
      </x:c>
      <x:c r="H11" s="142">
        <x:v>46367</x:v>
      </x:c>
      <x:c r="I11" s="124">
        <x:v>15</x:v>
      </x:c>
      <x:c r="J11" s="125"/>
      <x:c r="K11" s="25"/>
      <x:c r="L11" s="127"/>
      <x:c r="M11" s="127"/>
    </x:row>
    <x:row r="12" spans="1:13" ht="22.050000000000001">
      <x:c r="A12" s="20" t="s">
        <x:v>695</x:v>
      </x:c>
      <x:c r="B12" s="20" t="s">
        <x:v>311</x:v>
      </x:c>
      <x:c r="C12" s="123" t="s">
        <x:v>692</x:v>
      </x:c>
      <x:c r="D12" s="123">
        <x:v>294</x:v>
      </x:c>
      <x:c r="E12" s="157">
        <x:v>96</x:v>
      </x:c>
      <x:c r="F12" s="20" t="s">
        <x:v>56</x:v>
      </x:c>
      <x:c r="G12" s="20" t="s">
        <x:v>617</x:v>
      </x:c>
      <x:c r="H12" s="141">
        <x:v>46372</x:v>
      </x:c>
      <x:c r="I12" s="123">
        <x:v>15</x:v>
      </x:c>
      <x:c r="J12" s="127"/>
      <x:c r="K12" s="22"/>
      <x:c r="L12" s="127"/>
      <x:c r="M12" s="127"/>
    </x:row>
    <x:row r="13" spans="1:13" ht="22.050000000000001">
      <x:c r="A13" s="23" t="s">
        <x:v>695</x:v>
      </x:c>
      <x:c r="B13" s="23" t="s">
        <x:v>311</x:v>
      </x:c>
      <x:c r="C13" s="124" t="s">
        <x:v>692</x:v>
      </x:c>
      <x:c r="D13" s="124">
        <x:v>291</x:v>
      </x:c>
      <x:c r="E13" s="158">
        <x:v>38</x:v>
      </x:c>
      <x:c r="F13" s="23" t="s">
        <x:v>889</x:v>
      </x:c>
      <x:c r="G13" s="23" t="s">
        <x:v>309</x:v>
      </x:c>
      <x:c r="H13" s="142">
        <x:v>46399</x:v>
      </x:c>
      <x:c r="I13" s="124">
        <x:v>15</x:v>
      </x:c>
      <x:c r="J13" s="125"/>
      <x:c r="K13" s="25"/>
      <x:c r="L13" s="127"/>
      <x:c r="M13" s="127"/>
    </x:row>
    <x:row r="14" spans="1:13" ht="22.050000000000001">
      <x:c r="A14" s="20" t="s">
        <x:v>695</x:v>
      </x:c>
      <x:c r="B14" s="20" t="s">
        <x:v>311</x:v>
      </x:c>
      <x:c r="C14" s="123" t="s">
        <x:v>692</x:v>
      </x:c>
      <x:c r="D14" s="123">
        <x:v>294</x:v>
      </x:c>
      <x:c r="E14" s="157">
        <x:v>352</x:v>
      </x:c>
      <x:c r="F14" s="20" t="s">
        <x:v>838</x:v>
      </x:c>
      <x:c r="G14" s="20" t="s">
        <x:v>639</x:v>
      </x:c>
      <x:c r="H14" s="141">
        <x:v>46403</x:v>
      </x:c>
      <x:c r="I14" s="123">
        <x:v>15</x:v>
      </x:c>
      <x:c r="J14" s="127"/>
      <x:c r="K14" s="22"/>
      <x:c r="L14" s="127"/>
      <x:c r="M14" s="127"/>
    </x:row>
    <x:row r="15" spans="1:13" ht="22.050000000000001">
      <x:c r="A15" s="23" t="s">
        <x:v>695</x:v>
      </x:c>
      <x:c r="B15" s="23" t="s">
        <x:v>311</x:v>
      </x:c>
      <x:c r="C15" s="124" t="s">
        <x:v>692</x:v>
      </x:c>
      <x:c r="D15" s="124">
        <x:v>294</x:v>
      </x:c>
      <x:c r="E15" s="158">
        <x:v>120</x:v>
      </x:c>
      <x:c r="F15" s="23" t="s">
        <x:v>828</x:v>
      </x:c>
      <x:c r="G15" s="23" t="s">
        <x:v>617</x:v>
      </x:c>
      <x:c r="H15" s="142">
        <x:v>46406</x:v>
      </x:c>
      <x:c r="I15" s="124">
        <x:v>15</x:v>
      </x:c>
      <x:c r="J15" s="125"/>
      <x:c r="K15" s="25"/>
      <x:c r="L15" s="127"/>
      <x:c r="M15" s="127"/>
    </x:row>
    <x:row r="16" spans="1:13" ht="22.050000000000001">
      <x:c r="A16" s="20" t="s">
        <x:v>695</x:v>
      </x:c>
      <x:c r="B16" s="20" t="s">
        <x:v>311</x:v>
      </x:c>
      <x:c r="C16" s="123" t="s">
        <x:v>692</x:v>
      </x:c>
      <x:c r="D16" s="123">
        <x:v>294</x:v>
      </x:c>
      <x:c r="E16" s="157">
        <x:v>550</x:v>
      </x:c>
      <x:c r="F16" s="20" t="s">
        <x:v>257</x:v>
      </x:c>
      <x:c r="G16" s="20" t="s">
        <x:v>617</x:v>
      </x:c>
      <x:c r="H16" s="141">
        <x:v>46410</x:v>
      </x:c>
      <x:c r="I16" s="123">
        <x:v>15</x:v>
      </x:c>
      <x:c r="J16" s="127"/>
      <x:c r="K16" s="22"/>
      <x:c r="L16" s="127"/>
      <x:c r="M16" s="127"/>
    </x:row>
    <x:row r="17" spans="1:13" ht="22.050000000000001">
      <x:c r="A17" s="23" t="s">
        <x:v>695</x:v>
      </x:c>
      <x:c r="B17" s="23" t="s">
        <x:v>311</x:v>
      </x:c>
      <x:c r="C17" s="124" t="s">
        <x:v>692</x:v>
      </x:c>
      <x:c r="D17" s="124">
        <x:v>294</x:v>
      </x:c>
      <x:c r="E17" s="158">
        <x:v>1056</x:v>
      </x:c>
      <x:c r="F17" s="23" t="s">
        <x:v>853</x:v>
      </x:c>
      <x:c r="G17" s="23" t="s">
        <x:v>639</x:v>
      </x:c>
      <x:c r="H17" s="142">
        <x:v>46417</x:v>
      </x:c>
      <x:c r="I17" s="124">
        <x:v>15</x:v>
      </x:c>
      <x:c r="J17" s="125"/>
      <x:c r="K17" s="25"/>
      <x:c r="L17" s="127"/>
      <x:c r="M17" s="127"/>
    </x:row>
    <x:row r="18" spans="1:13" ht="22.050000000000001">
      <x:c r="A18" s="20" t="s">
        <x:v>695</x:v>
      </x:c>
      <x:c r="B18" s="20" t="s">
        <x:v>311</x:v>
      </x:c>
      <x:c r="C18" s="123" t="s">
        <x:v>692</x:v>
      </x:c>
      <x:c r="D18" s="123">
        <x:v>291</x:v>
      </x:c>
      <x:c r="E18" s="157">
        <x:v>7</x:v>
      </x:c>
      <x:c r="F18" s="20" t="s">
        <x:v>284</x:v>
      </x:c>
      <x:c r="G18" s="20" t="s">
        <x:v>309</x:v>
      </x:c>
      <x:c r="H18" s="141">
        <x:v>46421</x:v>
      </x:c>
      <x:c r="I18" s="123">
        <x:v>15</x:v>
      </x:c>
      <x:c r="J18" s="127"/>
      <x:c r="K18" s="22"/>
      <x:c r="L18" s="127"/>
      <x:c r="M18" s="127"/>
    </x:row>
    <x:row r="19" spans="1:13" ht="22.050000000000001">
      <x:c r="A19" s="23" t="s">
        <x:v>695</x:v>
      </x:c>
      <x:c r="B19" s="23" t="s">
        <x:v>311</x:v>
      </x:c>
      <x:c r="C19" s="124" t="s">
        <x:v>692</x:v>
      </x:c>
      <x:c r="D19" s="124">
        <x:v>291</x:v>
      </x:c>
      <x:c r="E19" s="158">
        <x:v>40</x:v>
      </x:c>
      <x:c r="F19" s="23" t="s">
        <x:v>839</x:v>
      </x:c>
      <x:c r="G19" s="23" t="s">
        <x:v>309</x:v>
      </x:c>
      <x:c r="H19" s="142">
        <x:v>46421</x:v>
      </x:c>
      <x:c r="I19" s="124">
        <x:v>15</x:v>
      </x:c>
      <x:c r="J19" s="125"/>
      <x:c r="K19" s="25"/>
      <x:c r="L19" s="127"/>
      <x:c r="M19" s="127"/>
    </x:row>
    <x:row r="20" spans="1:13" ht="22.050000000000001">
      <x:c r="A20" s="20" t="s">
        <x:v>695</x:v>
      </x:c>
      <x:c r="B20" s="20" t="s">
        <x:v>311</x:v>
      </x:c>
      <x:c r="C20" s="123" t="s">
        <x:v>692</x:v>
      </x:c>
      <x:c r="D20" s="123">
        <x:v>291</x:v>
      </x:c>
      <x:c r="E20" s="157">
        <x:v>55</x:v>
      </x:c>
      <x:c r="F20" s="20" t="s">
        <x:v>64</x:v>
      </x:c>
      <x:c r="G20" s="20" t="s">
        <x:v>309</x:v>
      </x:c>
      <x:c r="H20" s="141">
        <x:v>46445</x:v>
      </x:c>
      <x:c r="I20" s="123">
        <x:v>15</x:v>
      </x:c>
      <x:c r="J20" s="127"/>
      <x:c r="K20" s="22"/>
      <x:c r="L20" s="127"/>
      <x:c r="M20" s="127"/>
    </x:row>
    <x:row r="21" spans="1:13" ht="22.050000000000001">
      <x:c r="A21" s="23" t="s">
        <x:v>640</x:v>
      </x:c>
      <x:c r="B21" s="23" t="s">
        <x:v>311</x:v>
      </x:c>
      <x:c r="C21" s="124" t="s">
        <x:v>611</x:v>
      </x:c>
      <x:c r="D21" s="124">
        <x:v>294</x:v>
      </x:c>
      <x:c r="E21" s="158">
        <x:v>35</x:v>
      </x:c>
      <x:c r="F21" s="23" t="s">
        <x:v>868</x:v>
      </x:c>
      <x:c r="G21" s="23" t="s">
        <x:v>617</x:v>
      </x:c>
      <x:c r="H21" s="142">
        <x:v>46777</x:v>
      </x:c>
      <x:c r="I21" s="124">
        <x:v>20</x:v>
      </x:c>
      <x:c r="J21" s="125"/>
      <x:c r="K21" s="25"/>
      <x:c r="L21" s="127"/>
      <x:c r="M21" s="127"/>
    </x:row>
    <x:row r="22" spans="1:13" ht="22.050000000000001">
      <x:c r="A22" s="20" t="s">
        <x:v>640</x:v>
      </x:c>
      <x:c r="B22" s="20" t="s">
        <x:v>311</x:v>
      </x:c>
      <x:c r="C22" s="123" t="s">
        <x:v>611</x:v>
      </x:c>
      <x:c r="D22" s="123">
        <x:v>294</x:v>
      </x:c>
      <x:c r="E22" s="157">
        <x:v>95</x:v>
      </x:c>
      <x:c r="F22" s="20" t="s">
        <x:v>868</x:v>
      </x:c>
      <x:c r="G22" s="20" t="s">
        <x:v>662</x:v>
      </x:c>
      <x:c r="H22" s="141">
        <x:v>46777</x:v>
      </x:c>
      <x:c r="I22" s="123">
        <x:v>20</x:v>
      </x:c>
      <x:c r="J22" s="127"/>
      <x:c r="K22" s="22"/>
      <x:c r="L22" s="127"/>
      <x:c r="M22" s="127"/>
    </x:row>
    <x:row r="23" spans="1:13" ht="22.050000000000001">
      <x:c r="A23" s="23" t="s">
        <x:v>640</x:v>
      </x:c>
      <x:c r="B23" s="23" t="s">
        <x:v>311</x:v>
      </x:c>
      <x:c r="C23" s="124" t="s">
        <x:v>611</x:v>
      </x:c>
      <x:c r="D23" s="124">
        <x:v>294</x:v>
      </x:c>
      <x:c r="E23" s="158">
        <x:v>696</x:v>
      </x:c>
      <x:c r="F23" s="23" t="s">
        <x:v>278</x:v>
      </x:c>
      <x:c r="G23" s="23" t="s">
        <x:v>662</x:v>
      </x:c>
      <x:c r="H23" s="142">
        <x:v>46780</x:v>
      </x:c>
      <x:c r="I23" s="124">
        <x:v>20</x:v>
      </x:c>
      <x:c r="J23" s="125"/>
      <x:c r="K23" s="25"/>
      <x:c r="L23" s="127"/>
      <x:c r="M23" s="127"/>
    </x:row>
    <x:row r="24" spans="1:13" ht="22.050000000000001">
      <x:c r="A24" s="20" t="s">
        <x:v>640</x:v>
      </x:c>
      <x:c r="B24" s="20" t="s">
        <x:v>311</x:v>
      </x:c>
      <x:c r="C24" s="123" t="s">
        <x:v>611</x:v>
      </x:c>
      <x:c r="D24" s="123">
        <x:v>294</x:v>
      </x:c>
      <x:c r="E24" s="157">
        <x:v>70</x:v>
      </x:c>
      <x:c r="F24" s="20" t="s">
        <x:v>892</x:v>
      </x:c>
      <x:c r="G24" s="20" t="s">
        <x:v>679</x:v>
      </x:c>
      <x:c r="H24" s="141">
        <x:v>46816</x:v>
      </x:c>
      <x:c r="I24" s="123">
        <x:v>20</x:v>
      </x:c>
      <x:c r="J24" s="127"/>
      <x:c r="K24" s="22"/>
      <x:c r="L24" s="127"/>
      <x:c r="M24" s="127"/>
    </x:row>
    <x:row r="25" spans="1:13" ht="22.050000000000001">
      <x:c r="A25" s="25" t="s">
        <x:v>570</x:v>
      </x:c>
      <x:c r="B25" s="25" t="s">
        <x:v>693</x:v>
      </x:c>
      <x:c r="C25" s="125" t="s">
        <x:v>327</x:v>
      </x:c>
      <x:c r="D25" s="125">
        <x:v>235</x:v>
      </x:c>
      <x:c r="E25" s="159">
        <x:v>40</x:v>
      </x:c>
      <x:c r="F25" s="25" t="s">
        <x:v>1036</x:v>
      </x:c>
      <x:c r="G25" s="25" t="s">
        <x:v>662</x:v>
      </x:c>
      <x:c r="H25" s="143">
        <x:v>46406</x:v>
      </x:c>
      <x:c r="I25" s="125">
        <x:v>23.300000000000001</x:v>
      </x:c>
      <x:c r="J25" s="125"/>
      <x:c r="K25" s="25" t="s">
        <x:v>293</x:v>
      </x:c>
      <x:c r="L25" s="127"/>
      <x:c r="M25" s="127"/>
    </x:row>
    <x:row r="26" spans="1:13" ht="22.050000000000001">
      <x:c r="A26" s="20" t="s">
        <x:v>705</x:v>
      </x:c>
      <x:c r="B26" s="20" t="s">
        <x:v>693</x:v>
      </x:c>
      <x:c r="C26" s="123" t="s">
        <x:v>667</x:v>
      </x:c>
      <x:c r="D26" s="123">
        <x:v>384</x:v>
      </x:c>
      <x:c r="E26" s="157">
        <x:v>7</x:v>
      </x:c>
      <x:c r="F26" s="20" t="s">
        <x:v>81</x:v>
      </x:c>
      <x:c r="G26" s="20" t="s">
        <x:v>679</x:v>
      </x:c>
      <x:c r="H26" s="141">
        <x:v>46456</x:v>
      </x:c>
      <x:c r="I26" s="123">
        <x:v>16.350000000000001</x:v>
      </x:c>
      <x:c r="J26" s="127"/>
      <x:c r="K26" s="22"/>
      <x:c r="L26" s="127"/>
      <x:c r="M26" s="127"/>
    </x:row>
    <x:row r="27" spans="1:13" ht="22.050000000000001">
      <x:c r="A27" s="23" t="s">
        <x:v>705</x:v>
      </x:c>
      <x:c r="B27" s="23" t="s">
        <x:v>693</x:v>
      </x:c>
      <x:c r="C27" s="124" t="s">
        <x:v>667</x:v>
      </x:c>
      <x:c r="D27" s="124">
        <x:v>170</x:v>
      </x:c>
      <x:c r="E27" s="158">
        <x:v>39</x:v>
      </x:c>
      <x:c r="F27" s="23" t="s">
        <x:v>81</x:v>
      </x:c>
      <x:c r="G27" s="23" t="s">
        <x:v>617</x:v>
      </x:c>
      <x:c r="H27" s="142">
        <x:v>46456</x:v>
      </x:c>
      <x:c r="I27" s="124">
        <x:v>15.130000000000001</x:v>
      </x:c>
      <x:c r="J27" s="125"/>
      <x:c r="K27" s="25"/>
      <x:c r="L27" s="127"/>
      <x:c r="M27" s="127"/>
    </x:row>
    <x:row r="28" spans="1:13" ht="22.050000000000001">
      <x:c r="A28" s="20" t="s">
        <x:v>705</x:v>
      </x:c>
      <x:c r="B28" s="20" t="s">
        <x:v>693</x:v>
      </x:c>
      <x:c r="C28" s="123" t="s">
        <x:v>667</x:v>
      </x:c>
      <x:c r="D28" s="123">
        <x:v>235</x:v>
      </x:c>
      <x:c r="E28" s="157">
        <x:v>25</x:v>
      </x:c>
      <x:c r="F28" s="20" t="s">
        <x:v>7</x:v>
      </x:c>
      <x:c r="G28" s="20" t="s">
        <x:v>617</x:v>
      </x:c>
      <x:c r="H28" s="141">
        <x:v>46645</x:v>
      </x:c>
      <x:c r="I28" s="123">
        <x:v>16.739999999999998</x:v>
      </x:c>
      <x:c r="J28" s="127"/>
      <x:c r="K28" s="22"/>
      <x:c r="L28" s="127"/>
      <x:c r="M28" s="127"/>
    </x:row>
    <x:row r="29" spans="1:13" ht="22.050000000000001">
      <x:c r="A29" s="23" t="s">
        <x:v>705</x:v>
      </x:c>
      <x:c r="B29" s="23" t="s">
        <x:v>693</x:v>
      </x:c>
      <x:c r="C29" s="124" t="s">
        <x:v>667</x:v>
      </x:c>
      <x:c r="D29" s="124">
        <x:v>235</x:v>
      </x:c>
      <x:c r="E29" s="158">
        <x:v>118</x:v>
      </x:c>
      <x:c r="F29" s="23" t="s">
        <x:v>7</x:v>
      </x:c>
      <x:c r="G29" s="23" t="s">
        <x:v>679</x:v>
      </x:c>
      <x:c r="H29" s="142">
        <x:v>46645</x:v>
      </x:c>
      <x:c r="I29" s="124">
        <x:v>16.739999999999998</x:v>
      </x:c>
      <x:c r="J29" s="125"/>
      <x:c r="K29" s="25"/>
      <x:c r="L29" s="127"/>
      <x:c r="M29" s="127"/>
    </x:row>
    <x:row r="30" spans="1:13" ht="22.050000000000001">
      <x:c r="A30" s="28" t="s">
        <x:v>705</x:v>
      </x:c>
      <x:c r="B30" s="28" t="s">
        <x:v>693</x:v>
      </x:c>
      <x:c r="C30" s="123" t="s">
        <x:v>667</x:v>
      </x:c>
      <x:c r="D30" s="123">
        <x:v>235</x:v>
      </x:c>
      <x:c r="E30" s="157">
        <x:v>209</x:v>
      </x:c>
      <x:c r="F30" s="20" t="s">
        <x:v>282</x:v>
      </x:c>
      <x:c r="G30" s="20" t="s">
        <x:v>679</x:v>
      </x:c>
      <x:c r="H30" s="141">
        <x:v>46686</x:v>
      </x:c>
      <x:c r="I30" s="123">
        <x:v>16.780000000000001</x:v>
      </x:c>
      <x:c r="J30" s="127"/>
      <x:c r="K30" s="22"/>
      <x:c r="L30" s="127"/>
      <x:c r="M30" s="127"/>
    </x:row>
    <x:row r="31" spans="1:13" ht="22.050000000000001">
      <x:c r="A31" s="23" t="s">
        <x:v>705</x:v>
      </x:c>
      <x:c r="B31" s="23" t="s">
        <x:v>693</x:v>
      </x:c>
      <x:c r="C31" s="124" t="s">
        <x:v>667</x:v>
      </x:c>
      <x:c r="D31" s="124">
        <x:v>170</x:v>
      </x:c>
      <x:c r="E31" s="158">
        <x:v>28</x:v>
      </x:c>
      <x:c r="F31" s="23" t="s">
        <x:v>258</x:v>
      </x:c>
      <x:c r="G31" s="23" t="s">
        <x:v>679</x:v>
      </x:c>
      <x:c r="H31" s="142">
        <x:v>46758</x:v>
      </x:c>
      <x:c r="I31" s="124">
        <x:v>15.83</x:v>
      </x:c>
      <x:c r="J31" s="125"/>
      <x:c r="K31" s="25"/>
      <x:c r="L31" s="127"/>
      <x:c r="M31" s="127"/>
    </x:row>
    <x:row r="32" spans="1:13" ht="22.050000000000001">
      <x:c r="A32" s="20" t="s">
        <x:v>705</x:v>
      </x:c>
      <x:c r="B32" s="20" t="s">
        <x:v>693</x:v>
      </x:c>
      <x:c r="C32" s="123" t="s">
        <x:v>667</x:v>
      </x:c>
      <x:c r="D32" s="123">
        <x:v>235</x:v>
      </x:c>
      <x:c r="E32" s="157">
        <x:v>221</x:v>
      </x:c>
      <x:c r="F32" s="20" t="s">
        <x:v>258</x:v>
      </x:c>
      <x:c r="G32" s="20" t="s">
        <x:v>679</x:v>
      </x:c>
      <x:c r="H32" s="141">
        <x:v>46758</x:v>
      </x:c>
      <x:c r="I32" s="123">
        <x:v>17.100000000000001</x:v>
      </x:c>
      <x:c r="J32" s="127"/>
      <x:c r="K32" s="22"/>
      <x:c r="L32" s="127"/>
      <x:c r="M32" s="127"/>
    </x:row>
    <x:row r="33" spans="1:13" ht="22.050000000000001">
      <x:c r="A33" s="23" t="s">
        <x:v>705</x:v>
      </x:c>
      <x:c r="B33" s="23" t="s">
        <x:v>693</x:v>
      </x:c>
      <x:c r="C33" s="124" t="s">
        <x:v>667</x:v>
      </x:c>
      <x:c r="D33" s="124">
        <x:v>235</x:v>
      </x:c>
      <x:c r="E33" s="158">
        <x:v>230</x:v>
      </x:c>
      <x:c r="F33" s="23" t="s">
        <x:v>54</x:v>
      </x:c>
      <x:c r="G33" s="23" t="s">
        <x:v>679</x:v>
      </x:c>
      <x:c r="H33" s="142">
        <x:v>46764</x:v>
      </x:c>
      <x:c r="I33" s="124">
        <x:v>17.300000000000001</x:v>
      </x:c>
      <x:c r="J33" s="125"/>
      <x:c r="K33" s="29"/>
      <x:c r="L33" s="127"/>
      <x:c r="M33" s="127"/>
    </x:row>
    <x:row r="34" spans="1:13" ht="22.050000000000001">
      <x:c r="A34" s="30" t="s">
        <x:v>590</x:v>
      </x:c>
      <x:c r="B34" s="20" t="s">
        <x:v>533</x:v>
      </x:c>
      <x:c r="C34" s="123" t="s">
        <x:v>626</x:v>
      </x:c>
      <x:c r="D34" s="123" t="s">
        <x:v>670</x:v>
      </x:c>
      <x:c r="E34" s="157">
        <x:v>6</x:v>
      </x:c>
      <x:c r="F34" s="20" t="s">
        <x:v>44</x:v>
      </x:c>
      <x:c r="G34" s="20" t="s">
        <x:v>617</x:v>
      </x:c>
      <x:c r="H34" s="141">
        <x:v>46181</x:v>
      </x:c>
      <x:c r="I34" s="123">
        <x:v>19.390000000000001</x:v>
      </x:c>
      <x:c r="J34" s="127"/>
      <x:c r="K34" s="22"/>
      <x:c r="L34" s="127"/>
      <x:c r="M34" s="127"/>
    </x:row>
    <x:row r="35" spans="1:13" ht="22.050000000000001">
      <x:c r="A35" s="23" t="s">
        <x:v>542</x:v>
      </x:c>
      <x:c r="B35" s="23" t="s">
        <x:v>533</x:v>
      </x:c>
      <x:c r="C35" s="124" t="s">
        <x:v>627</x:v>
      </x:c>
      <x:c r="D35" s="124" t="s">
        <x:v>625</x:v>
      </x:c>
      <x:c r="E35" s="158">
        <x:v>0</x:v>
      </x:c>
      <x:c r="F35" s="23" t="s">
        <x:v>263</x:v>
      </x:c>
      <x:c r="G35" s="23" t="s">
        <x:v>617</x:v>
      </x:c>
      <x:c r="H35" s="142">
        <x:v>46176</x:v>
      </x:c>
      <x:c r="I35" s="124">
        <x:v>18.359999999999999</x:v>
      </x:c>
      <x:c r="J35" s="125"/>
      <x:c r="K35" s="25"/>
      <x:c r="L35" s="127"/>
      <x:c r="M35" s="127"/>
    </x:row>
    <x:row r="36" spans="1:13" ht="22.050000000000001">
      <x:c r="A36" s="30" t="s">
        <x:v>542</x:v>
      </x:c>
      <x:c r="B36" s="20" t="s">
        <x:v>533</x:v>
      </x:c>
      <x:c r="C36" s="123" t="s">
        <x:v>627</x:v>
      </x:c>
      <x:c r="D36" s="123" t="s">
        <x:v>670</x:v>
      </x:c>
      <x:c r="E36" s="157">
        <x:v>40</x:v>
      </x:c>
      <x:c r="F36" s="20" t="s">
        <x:v>44</x:v>
      </x:c>
      <x:c r="G36" s="20" t="s">
        <x:v>617</x:v>
      </x:c>
      <x:c r="H36" s="141">
        <x:v>46181</x:v>
      </x:c>
      <x:c r="I36" s="123">
        <x:v>23.879999999999999</x:v>
      </x:c>
      <x:c r="J36" s="127"/>
      <x:c r="K36" s="22"/>
      <x:c r="L36" s="127"/>
      <x:c r="M36" s="127"/>
    </x:row>
    <x:row r="37" spans="1:13" ht="22.050000000000001">
      <x:c r="A37" s="23" t="s">
        <x:v>542</x:v>
      </x:c>
      <x:c r="B37" s="23" t="s">
        <x:v>678</x:v>
      </x:c>
      <x:c r="C37" s="124" t="s">
        <x:v>631</x:v>
      </x:c>
      <x:c r="D37" s="124" t="s">
        <x:v>601</x:v>
      </x:c>
      <x:c r="E37" s="158">
        <x:v>3</x:v>
      </x:c>
      <x:c r="F37" s="23" t="s">
        <x:v>4</x:v>
      </x:c>
      <x:c r="G37" s="23" t="s">
        <x:v>617</x:v>
      </x:c>
      <x:c r="H37" s="142">
        <x:v>46175</x:v>
      </x:c>
      <x:c r="I37" s="124">
        <x:v>24.416</x:v>
      </x:c>
      <x:c r="J37" s="125"/>
      <x:c r="K37" s="29"/>
      <x:c r="L37" s="127"/>
      <x:c r="M37" s="127"/>
    </x:row>
    <x:row r="38" spans="1:13" ht="22.050000000000001">
      <x:c r="A38" s="20" t="s">
        <x:v>542</x:v>
      </x:c>
      <x:c r="B38" s="20" t="s">
        <x:v>678</x:v>
      </x:c>
      <x:c r="C38" s="123" t="s">
        <x:v>631</x:v>
      </x:c>
      <x:c r="D38" s="123" t="s">
        <x:v>601</x:v>
      </x:c>
      <x:c r="E38" s="157">
        <x:v>7</x:v>
      </x:c>
      <x:c r="F38" s="20" t="s">
        <x:v>16</x:v>
      </x:c>
      <x:c r="G38" s="20" t="s">
        <x:v>617</x:v>
      </x:c>
      <x:c r="H38" s="141">
        <x:v>46188</x:v>
      </x:c>
      <x:c r="I38" s="123">
        <x:v>24.19714286</x:v>
      </x:c>
      <x:c r="J38" s="127"/>
      <x:c r="K38" s="22"/>
      <x:c r="L38" s="127"/>
      <x:c r="M38" s="127"/>
    </x:row>
    <x:row r="39" spans="1:13" ht="22.050000000000001">
      <x:c r="A39" s="23" t="s">
        <x:v>542</x:v>
      </x:c>
      <x:c r="B39" s="23" t="s">
        <x:v>573</x:v>
      </x:c>
      <x:c r="C39" s="124" t="s">
        <x:v>636</x:v>
      </x:c>
      <x:c r="D39" s="124" t="s">
        <x:v>685</x:v>
      </x:c>
      <x:c r="E39" s="158">
        <x:v>16</x:v>
      </x:c>
      <x:c r="F39" s="23" t="s">
        <x:v>13</x:v>
      </x:c>
      <x:c r="G39" s="31" t="s">
        <x:v>617</x:v>
      </x:c>
      <x:c r="H39" s="142">
        <x:v>46177</x:v>
      </x:c>
      <x:c r="I39" s="126">
        <x:v>18.308846150000001</x:v>
      </x:c>
      <x:c r="J39" s="125"/>
      <x:c r="K39" s="25"/>
      <x:c r="L39" s="127"/>
      <x:c r="M39" s="127"/>
    </x:row>
    <x:row r="40" spans="1:13" ht="22.050000000000001">
      <x:c r="A40" s="20" t="s">
        <x:v>544</x:v>
      </x:c>
      <x:c r="B40" s="20" t="s">
        <x:v>571</x:v>
      </x:c>
      <x:c r="C40" s="123"/>
      <x:c r="D40" s="123" t="s">
        <x:v>550</x:v>
      </x:c>
      <x:c r="E40" s="157">
        <x:v>45</x:v>
      </x:c>
      <x:c r="F40" s="20" t="s">
        <x:v>5</x:v>
      </x:c>
      <x:c r="G40" s="20" t="s">
        <x:v>617</x:v>
      </x:c>
      <x:c r="H40" s="141">
        <x:v>46157</x:v>
      </x:c>
      <x:c r="I40" s="123">
        <x:v>15.92</x:v>
      </x:c>
      <x:c r="J40" s="127"/>
      <x:c r="K40" s="22"/>
      <x:c r="L40" s="127"/>
      <x:c r="M40" s="127"/>
    </x:row>
    <x:row r="41" spans="1:13" ht="22.050000000000001">
      <x:c r="A41" s="25" t="s">
        <x:v>544</x:v>
      </x:c>
      <x:c r="B41" s="25" t="s">
        <x:v>571</x:v>
      </x:c>
      <x:c r="C41" s="125"/>
      <x:c r="D41" s="125" t="s">
        <x:v>550</x:v>
      </x:c>
      <x:c r="E41" s="159">
        <x:v>4</x:v>
      </x:c>
      <x:c r="F41" s="25" t="s">
        <x:v>5</x:v>
      </x:c>
      <x:c r="G41" s="25" t="s">
        <x:v>617</x:v>
      </x:c>
      <x:c r="H41" s="143">
        <x:v>46157</x:v>
      </x:c>
      <x:c r="I41" s="125">
        <x:v>15.92</x:v>
      </x:c>
      <x:c r="J41" s="125">
        <x:v>46136</x:v>
      </x:c>
      <x:c r="K41" s="25" t="s">
        <x:v>610</x:v>
      </x:c>
      <x:c r="L41" s="125"/>
      <x:c r="M41" s="125"/>
    </x:row>
    <x:row r="42" spans="1:13" ht="22.050000000000001">
      <x:c r="A42" s="30" t="s">
        <x:v>305</x:v>
      </x:c>
      <x:c r="B42" s="30" t="s">
        <x:v>533</x:v>
      </x:c>
      <x:c r="C42" s="123" t="s">
        <x:v>631</x:v>
      </x:c>
      <x:c r="D42" s="123" t="s">
        <x:v>625</x:v>
      </x:c>
      <x:c r="E42" s="157">
        <x:v>0</x:v>
      </x:c>
      <x:c r="F42" s="30" t="s">
        <x:v>8</x:v>
      </x:c>
      <x:c r="G42" s="30" t="s">
        <x:v>617</x:v>
      </x:c>
      <x:c r="H42" s="141">
        <x:v>46181</x:v>
      </x:c>
      <x:c r="I42" s="123">
        <x:v>20.260000000000002</x:v>
      </x:c>
      <x:c r="J42" s="127"/>
      <x:c r="K42" s="22"/>
      <x:c r="L42" s="127"/>
      <x:c r="M42" s="127"/>
    </x:row>
    <x:row r="43" spans="1:13" ht="22.050000000000001">
      <x:c r="A43" s="23" t="s">
        <x:v>305</x:v>
      </x:c>
      <x:c r="B43" s="31" t="s">
        <x:v>533</x:v>
      </x:c>
      <x:c r="C43" s="124" t="s">
        <x:v>627</x:v>
      </x:c>
      <x:c r="D43" s="124" t="s">
        <x:v>635</x:v>
      </x:c>
      <x:c r="E43" s="158">
        <x:v>30</x:v>
      </x:c>
      <x:c r="F43" s="23" t="s">
        <x:v>9</x:v>
      </x:c>
      <x:c r="G43" s="23" t="s">
        <x:v>617</x:v>
      </x:c>
      <x:c r="H43" s="142">
        <x:v>46153</x:v>
      </x:c>
      <x:c r="I43" s="124">
        <x:v>24.289999999999999</x:v>
      </x:c>
      <x:c r="J43" s="125"/>
      <x:c r="K43" s="25"/>
      <x:c r="L43" s="127"/>
      <x:c r="M43" s="127"/>
    </x:row>
    <x:row r="44" spans="1:13" ht="22.050000000000001">
      <x:c r="A44" s="20" t="s">
        <x:v>305</x:v>
      </x:c>
      <x:c r="B44" s="20" t="s">
        <x:v>533</x:v>
      </x:c>
      <x:c r="C44" s="123" t="s">
        <x:v>627</x:v>
      </x:c>
      <x:c r="D44" s="123" t="s">
        <x:v>625</x:v>
      </x:c>
      <x:c r="E44" s="157">
        <x:v>38</x:v>
      </x:c>
      <x:c r="F44" s="20" t="s">
        <x:v>33</x:v>
      </x:c>
      <x:c r="G44" s="20" t="s">
        <x:v>617</x:v>
      </x:c>
      <x:c r="H44" s="141">
        <x:v>46158</x:v>
      </x:c>
      <x:c r="I44" s="123">
        <x:v>21.329999999999998</x:v>
      </x:c>
      <x:c r="J44" s="127"/>
      <x:c r="K44" s="22"/>
      <x:c r="L44" s="127"/>
      <x:c r="M44" s="127"/>
    </x:row>
    <x:row r="45" spans="1:13" ht="22.050000000000001">
      <x:c r="A45" s="23" t="s">
        <x:v>305</x:v>
      </x:c>
      <x:c r="B45" s="23" t="s">
        <x:v>533</x:v>
      </x:c>
      <x:c r="C45" s="124" t="s">
        <x:v>627</x:v>
      </x:c>
      <x:c r="D45" s="124" t="s">
        <x:v>635</x:v>
      </x:c>
      <x:c r="E45" s="158">
        <x:v>42</x:v>
      </x:c>
      <x:c r="F45" s="23" t="s">
        <x:v>27</x:v>
      </x:c>
      <x:c r="G45" s="23" t="s">
        <x:v>617</x:v>
      </x:c>
      <x:c r="H45" s="142">
        <x:v>46165</x:v>
      </x:c>
      <x:c r="I45" s="124">
        <x:v>23.120000000000001</x:v>
      </x:c>
      <x:c r="J45" s="125"/>
      <x:c r="K45" s="25"/>
      <x:c r="L45" s="127"/>
      <x:c r="M45" s="127"/>
    </x:row>
    <x:row r="46" spans="1:13" ht="22.050000000000001">
      <x:c r="A46" s="30" t="s">
        <x:v>305</x:v>
      </x:c>
      <x:c r="B46" s="20" t="s">
        <x:v>533</x:v>
      </x:c>
      <x:c r="C46" s="123" t="s">
        <x:v>627</x:v>
      </x:c>
      <x:c r="D46" s="123" t="s">
        <x:v>670</x:v>
      </x:c>
      <x:c r="E46" s="157">
        <x:v>19</x:v>
      </x:c>
      <x:c r="F46" s="20" t="s">
        <x:v>20</x:v>
      </x:c>
      <x:c r="G46" s="20" t="s">
        <x:v>617</x:v>
      </x:c>
      <x:c r="H46" s="141">
        <x:v>46174</x:v>
      </x:c>
      <x:c r="I46" s="123">
        <x:v>25.969999999999999</x:v>
      </x:c>
      <x:c r="J46" s="127"/>
      <x:c r="K46" s="22"/>
      <x:c r="L46" s="127"/>
      <x:c r="M46" s="127"/>
    </x:row>
    <x:row r="47" spans="1:13" ht="22.050000000000001">
      <x:c r="A47" s="23" t="s">
        <x:v>305</x:v>
      </x:c>
      <x:c r="B47" s="23" t="s">
        <x:v>533</x:v>
      </x:c>
      <x:c r="C47" s="124" t="s">
        <x:v>627</x:v>
      </x:c>
      <x:c r="D47" s="124" t="s">
        <x:v>625</x:v>
      </x:c>
      <x:c r="E47" s="158">
        <x:v>32</x:v>
      </x:c>
      <x:c r="F47" s="23" t="s">
        <x:v>263</x:v>
      </x:c>
      <x:c r="G47" s="23" t="s">
        <x:v>617</x:v>
      </x:c>
      <x:c r="H47" s="142">
        <x:v>46176</x:v>
      </x:c>
      <x:c r="I47" s="124">
        <x:v>22.280000000000001</x:v>
      </x:c>
      <x:c r="J47" s="125"/>
      <x:c r="K47" s="25"/>
      <x:c r="L47" s="127"/>
      <x:c r="M47" s="127"/>
    </x:row>
    <x:row r="48" spans="1:13" ht="22.050000000000001">
      <x:c r="A48" s="22" t="s">
        <x:v>305</x:v>
      </x:c>
      <x:c r="B48" s="22" t="s">
        <x:v>533</x:v>
      </x:c>
      <x:c r="C48" s="127" t="s">
        <x:v>627</x:v>
      </x:c>
      <x:c r="D48" s="127" t="s">
        <x:v>670</x:v>
      </x:c>
      <x:c r="E48" s="160">
        <x:v>0</x:v>
      </x:c>
      <x:c r="F48" s="22" t="s">
        <x:v>44</x:v>
      </x:c>
      <x:c r="G48" s="22" t="s">
        <x:v>617</x:v>
      </x:c>
      <x:c r="H48" s="144">
        <x:v>46181</x:v>
      </x:c>
      <x:c r="I48" s="127">
        <x:v>23.309999999999999</x:v>
      </x:c>
      <x:c r="J48" s="127"/>
      <x:c r="K48" s="22" t="s">
        <x:v>569</x:v>
      </x:c>
      <x:c r="L48" s="127"/>
      <x:c r="M48" s="127"/>
    </x:row>
    <x:row r="49" spans="1:13" ht="22.050000000000001">
      <x:c r="A49" s="31" t="s">
        <x:v>305</x:v>
      </x:c>
      <x:c r="B49" s="23" t="s">
        <x:v>533</x:v>
      </x:c>
      <x:c r="C49" s="124" t="s">
        <x:v>627</x:v>
      </x:c>
      <x:c r="D49" s="124" t="s">
        <x:v>670</x:v>
      </x:c>
      <x:c r="E49" s="158">
        <x:v>47</x:v>
      </x:c>
      <x:c r="F49" s="23" t="s">
        <x:v>44</x:v>
      </x:c>
      <x:c r="G49" s="23" t="s">
        <x:v>617</x:v>
      </x:c>
      <x:c r="H49" s="142">
        <x:v>46181</x:v>
      </x:c>
      <x:c r="I49" s="124">
        <x:v>23.309999999999999</x:v>
      </x:c>
      <x:c r="J49" s="125"/>
      <x:c r="K49" s="25"/>
      <x:c r="L49" s="127"/>
      <x:c r="M49" s="127"/>
    </x:row>
    <x:row r="50" spans="1:13" ht="22.050000000000001">
      <x:c r="A50" s="20" t="s">
        <x:v>305</x:v>
      </x:c>
      <x:c r="B50" s="20" t="s">
        <x:v>533</x:v>
      </x:c>
      <x:c r="C50" s="123" t="s">
        <x:v>626</x:v>
      </x:c>
      <x:c r="D50" s="123" t="s">
        <x:v>635</x:v>
      </x:c>
      <x:c r="E50" s="157">
        <x:v>7</x:v>
      </x:c>
      <x:c r="F50" s="20" t="s">
        <x:v>27</x:v>
      </x:c>
      <x:c r="G50" s="20" t="s">
        <x:v>617</x:v>
      </x:c>
      <x:c r="H50" s="141">
        <x:v>46165</x:v>
      </x:c>
      <x:c r="I50" s="123">
        <x:v>21.620000000000001</x:v>
      </x:c>
      <x:c r="J50" s="127"/>
      <x:c r="K50" s="22"/>
      <x:c r="L50" s="127"/>
      <x:c r="M50" s="127"/>
    </x:row>
    <x:row r="51" spans="1:13" ht="22.050000000000001">
      <x:c r="A51" s="23" t="s">
        <x:v>305</x:v>
      </x:c>
      <x:c r="B51" s="23" t="s">
        <x:v>533</x:v>
      </x:c>
      <x:c r="C51" s="124" t="s">
        <x:v>626</x:v>
      </x:c>
      <x:c r="D51" s="124" t="s">
        <x:v>625</x:v>
      </x:c>
      <x:c r="E51" s="158">
        <x:v>8</x:v>
      </x:c>
      <x:c r="F51" s="23" t="s">
        <x:v>263</x:v>
      </x:c>
      <x:c r="G51" s="23" t="s">
        <x:v>617</x:v>
      </x:c>
      <x:c r="H51" s="142">
        <x:v>46176</x:v>
      </x:c>
      <x:c r="I51" s="124">
        <x:v>22.420000000000002</x:v>
      </x:c>
      <x:c r="J51" s="125"/>
      <x:c r="K51" s="25"/>
      <x:c r="L51" s="127"/>
      <x:c r="M51" s="127"/>
    </x:row>
    <x:row r="52" spans="1:13" ht="22.050000000000001">
      <x:c r="A52" s="30" t="s">
        <x:v>305</x:v>
      </x:c>
      <x:c r="B52" s="30" t="s">
        <x:v>533</x:v>
      </x:c>
      <x:c r="C52" s="123" t="s">
        <x:v>626</x:v>
      </x:c>
      <x:c r="D52" s="123" t="s">
        <x:v>625</x:v>
      </x:c>
      <x:c r="E52" s="157">
        <x:v>8</x:v>
      </x:c>
      <x:c r="F52" s="30" t="s">
        <x:v>8</x:v>
      </x:c>
      <x:c r="G52" s="30" t="s">
        <x:v>617</x:v>
      </x:c>
      <x:c r="H52" s="141">
        <x:v>46181</x:v>
      </x:c>
      <x:c r="I52" s="123">
        <x:v>24.149999999999999</x:v>
      </x:c>
      <x:c r="J52" s="127"/>
      <x:c r="K52" s="22"/>
      <x:c r="L52" s="127"/>
      <x:c r="M52" s="127"/>
    </x:row>
    <x:row r="53" spans="1:13" ht="22.050000000000001">
      <x:c r="A53" s="31" t="s">
        <x:v>305</x:v>
      </x:c>
      <x:c r="B53" s="31" t="s">
        <x:v>678</x:v>
      </x:c>
      <x:c r="C53" s="124" t="s">
        <x:v>627</x:v>
      </x:c>
      <x:c r="D53" s="124" t="s">
        <x:v>601</x:v>
      </x:c>
      <x:c r="E53" s="158">
        <x:v>4</x:v>
      </x:c>
      <x:c r="F53" s="31" t="s">
        <x:v>287</x:v>
      </x:c>
      <x:c r="G53" s="23" t="s">
        <x:v>617</x:v>
      </x:c>
      <x:c r="H53" s="142">
        <x:v>46155</x:v>
      </x:c>
      <x:c r="I53" s="124">
        <x:v>22.861428570000001</x:v>
      </x:c>
      <x:c r="J53" s="125"/>
      <x:c r="K53" s="32"/>
      <x:c r="L53" s="125"/>
      <x:c r="M53" s="125"/>
    </x:row>
    <x:row r="54" spans="1:13" ht="22.050000000000001">
      <x:c r="A54" s="20" t="s">
        <x:v>305</x:v>
      </x:c>
      <x:c r="B54" s="20" t="s">
        <x:v>678</x:v>
      </x:c>
      <x:c r="C54" s="123" t="s">
        <x:v>627</x:v>
      </x:c>
      <x:c r="D54" s="123" t="s">
        <x:v>601</x:v>
      </x:c>
      <x:c r="E54" s="157">
        <x:v>5</x:v>
      </x:c>
      <x:c r="F54" s="20" t="s">
        <x:v>4</x:v>
      </x:c>
      <x:c r="G54" s="20" t="s">
        <x:v>617</x:v>
      </x:c>
      <x:c r="H54" s="141">
        <x:v>46175</x:v>
      </x:c>
      <x:c r="I54" s="123">
        <x:v>21.382857139999999</x:v>
      </x:c>
      <x:c r="J54" s="127"/>
      <x:c r="K54" s="36"/>
      <x:c r="L54" s="127"/>
      <x:c r="M54" s="127"/>
    </x:row>
    <x:row r="55" spans="1:13" ht="22.050000000000001">
      <x:c r="A55" s="23" t="s">
        <x:v>305</x:v>
      </x:c>
      <x:c r="B55" s="23" t="s">
        <x:v>678</x:v>
      </x:c>
      <x:c r="C55" s="124" t="s">
        <x:v>627</x:v>
      </x:c>
      <x:c r="D55" s="124" t="s">
        <x:v>601</x:v>
      </x:c>
      <x:c r="E55" s="158">
        <x:v>10</x:v>
      </x:c>
      <x:c r="F55" s="23" t="s">
        <x:v>16</x:v>
      </x:c>
      <x:c r="G55" s="23" t="s">
        <x:v>617</x:v>
      </x:c>
      <x:c r="H55" s="142">
        <x:v>46192</x:v>
      </x:c>
      <x:c r="I55" s="124">
        <x:v>23.064</x:v>
      </x:c>
      <x:c r="J55" s="125"/>
      <x:c r="K55" s="25"/>
      <x:c r="L55" s="127"/>
      <x:c r="M55" s="127"/>
    </x:row>
    <x:row r="56" spans="1:13" ht="22.050000000000001">
      <x:c r="A56" s="20" t="s">
        <x:v>305</x:v>
      </x:c>
      <x:c r="B56" s="20" t="s">
        <x:v>678</x:v>
      </x:c>
      <x:c r="C56" s="123" t="s">
        <x:v>626</x:v>
      </x:c>
      <x:c r="D56" s="123" t="s">
        <x:v>601</x:v>
      </x:c>
      <x:c r="E56" s="157">
        <x:v>7</x:v>
      </x:c>
      <x:c r="F56" s="20" t="s">
        <x:v>4</x:v>
      </x:c>
      <x:c r="G56" s="20" t="s">
        <x:v>617</x:v>
      </x:c>
      <x:c r="H56" s="141">
        <x:v>46174</x:v>
      </x:c>
      <x:c r="I56" s="123">
        <x:v>22.131428570000001</x:v>
      </x:c>
      <x:c r="J56" s="127"/>
      <x:c r="K56" s="36"/>
      <x:c r="L56" s="127"/>
      <x:c r="M56" s="127"/>
    </x:row>
    <x:row r="57" spans="1:13" ht="22.050000000000001">
      <x:c r="A57" s="23" t="s">
        <x:v>305</x:v>
      </x:c>
      <x:c r="B57" s="23" t="s">
        <x:v>678</x:v>
      </x:c>
      <x:c r="C57" s="124" t="s">
        <x:v>626</x:v>
      </x:c>
      <x:c r="D57" s="124" t="s">
        <x:v>601</x:v>
      </x:c>
      <x:c r="E57" s="158">
        <x:v>7</x:v>
      </x:c>
      <x:c r="F57" s="23" t="s">
        <x:v>16</x:v>
      </x:c>
      <x:c r="G57" s="23" t="s">
        <x:v>617</x:v>
      </x:c>
      <x:c r="H57" s="142">
        <x:v>46191</x:v>
      </x:c>
      <x:c r="I57" s="124">
        <x:v>21.190000000000001</x:v>
      </x:c>
      <x:c r="J57" s="125"/>
      <x:c r="K57" s="25"/>
      <x:c r="L57" s="127"/>
      <x:c r="M57" s="127"/>
    </x:row>
    <x:row r="58" spans="1:13" ht="22.050000000000001">
      <x:c r="A58" s="20" t="s">
        <x:v>613</x:v>
      </x:c>
      <x:c r="B58" s="20" t="s">
        <x:v>533</x:v>
      </x:c>
      <x:c r="C58" s="123" t="s">
        <x:v>631</x:v>
      </x:c>
      <x:c r="D58" s="123" t="s">
        <x:v>670</x:v>
      </x:c>
      <x:c r="E58" s="157">
        <x:v>2</x:v>
      </x:c>
      <x:c r="F58" s="20" t="s">
        <x:v>40</x:v>
      </x:c>
      <x:c r="G58" s="20" t="s">
        <x:v>617</x:v>
      </x:c>
      <x:c r="H58" s="141">
        <x:v>46167</x:v>
      </x:c>
      <x:c r="I58" s="123">
        <x:v>25.350000000000001</x:v>
      </x:c>
      <x:c r="J58" s="127"/>
      <x:c r="K58" s="22"/>
      <x:c r="L58" s="127"/>
      <x:c r="M58" s="127"/>
    </x:row>
    <x:row r="59" spans="1:13" ht="22.050000000000001">
      <x:c r="A59" s="31" t="s">
        <x:v>613</x:v>
      </x:c>
      <x:c r="B59" s="23" t="s">
        <x:v>533</x:v>
      </x:c>
      <x:c r="C59" s="124" t="s">
        <x:v>631</x:v>
      </x:c>
      <x:c r="D59" s="124" t="s">
        <x:v>670</x:v>
      </x:c>
      <x:c r="E59" s="158">
        <x:v>3</x:v>
      </x:c>
      <x:c r="F59" s="23" t="s">
        <x:v>20</x:v>
      </x:c>
      <x:c r="G59" s="23" t="s">
        <x:v>617</x:v>
      </x:c>
      <x:c r="H59" s="142">
        <x:v>46174</x:v>
      </x:c>
      <x:c r="I59" s="124">
        <x:v>25.350000000000001</x:v>
      </x:c>
      <x:c r="J59" s="125"/>
      <x:c r="K59" s="25"/>
      <x:c r="L59" s="127"/>
      <x:c r="M59" s="127"/>
    </x:row>
    <x:row r="60" spans="1:13" ht="22.050000000000001">
      <x:c r="A60" s="30" t="s">
        <x:v>613</x:v>
      </x:c>
      <x:c r="B60" s="20" t="s">
        <x:v>533</x:v>
      </x:c>
      <x:c r="C60" s="123" t="s">
        <x:v>631</x:v>
      </x:c>
      <x:c r="D60" s="123" t="s">
        <x:v>670</x:v>
      </x:c>
      <x:c r="E60" s="157">
        <x:v>5</x:v>
      </x:c>
      <x:c r="F60" s="20" t="s">
        <x:v>44</x:v>
      </x:c>
      <x:c r="G60" s="20" t="s">
        <x:v>617</x:v>
      </x:c>
      <x:c r="H60" s="141">
        <x:v>46181</x:v>
      </x:c>
      <x:c r="I60" s="123">
        <x:v>22.199999999999999</x:v>
      </x:c>
      <x:c r="J60" s="127"/>
      <x:c r="K60" s="22"/>
      <x:c r="L60" s="127"/>
      <x:c r="M60" s="127"/>
    </x:row>
    <x:row r="61" spans="1:13" ht="22.050000000000001">
      <x:c r="A61" s="31" t="s">
        <x:v>613</x:v>
      </x:c>
      <x:c r="B61" s="31" t="s">
        <x:v>533</x:v>
      </x:c>
      <x:c r="C61" s="124" t="s">
        <x:v>627</x:v>
      </x:c>
      <x:c r="D61" s="124" t="s">
        <x:v>625</x:v>
      </x:c>
      <x:c r="E61" s="158">
        <x:v>4</x:v>
      </x:c>
      <x:c r="F61" s="31" t="s">
        <x:v>8</x:v>
      </x:c>
      <x:c r="G61" s="31" t="s">
        <x:v>617</x:v>
      </x:c>
      <x:c r="H61" s="142">
        <x:v>46181</x:v>
      </x:c>
      <x:c r="I61" s="124">
        <x:v>19.690000000000001</x:v>
      </x:c>
      <x:c r="J61" s="125"/>
      <x:c r="K61" s="25"/>
      <x:c r="L61" s="127"/>
      <x:c r="M61" s="127"/>
    </x:row>
    <x:row r="62" spans="1:13" ht="22.050000000000001">
      <x:c r="A62" s="22" t="s">
        <x:v>613</x:v>
      </x:c>
      <x:c r="B62" s="22" t="s">
        <x:v>533</x:v>
      </x:c>
      <x:c r="C62" s="127" t="s">
        <x:v>627</x:v>
      </x:c>
      <x:c r="D62" s="127" t="s">
        <x:v>625</x:v>
      </x:c>
      <x:c r="E62" s="160">
        <x:v>0</x:v>
      </x:c>
      <x:c r="F62" s="22" t="s">
        <x:v>8</x:v>
      </x:c>
      <x:c r="G62" s="22" t="s">
        <x:v>617</x:v>
      </x:c>
      <x:c r="H62" s="144">
        <x:v>46181</x:v>
      </x:c>
      <x:c r="I62" s="127">
        <x:v>19.690000000000001</x:v>
      </x:c>
      <x:c r="J62" s="127"/>
      <x:c r="K62" s="22" t="s">
        <x:v>569</x:v>
      </x:c>
      <x:c r="L62" s="127"/>
      <x:c r="M62" s="127"/>
    </x:row>
    <x:row r="63" spans="1:13" ht="22.050000000000001">
      <x:c r="A63" s="31" t="s">
        <x:v>613</x:v>
      </x:c>
      <x:c r="B63" s="23" t="s">
        <x:v>533</x:v>
      </x:c>
      <x:c r="C63" s="124" t="s">
        <x:v>626</x:v>
      </x:c>
      <x:c r="D63" s="124" t="s">
        <x:v>670</x:v>
      </x:c>
      <x:c r="E63" s="158">
        <x:v>2</x:v>
      </x:c>
      <x:c r="F63" s="23" t="s">
        <x:v>44</x:v>
      </x:c>
      <x:c r="G63" s="23" t="s">
        <x:v>617</x:v>
      </x:c>
      <x:c r="H63" s="142">
        <x:v>46181</x:v>
      </x:c>
      <x:c r="I63" s="124">
        <x:v>24.289999999999999</x:v>
      </x:c>
      <x:c r="J63" s="125"/>
      <x:c r="K63" s="25"/>
      <x:c r="L63" s="127"/>
      <x:c r="M63" s="127"/>
    </x:row>
    <x:row r="64" spans="1:13" ht="22.050000000000001">
      <x:c r="A64" s="22" t="s">
        <x:v>583</x:v>
      </x:c>
      <x:c r="B64" s="22" t="s">
        <x:v>571</x:v>
      </x:c>
      <x:c r="C64" s="127"/>
      <x:c r="D64" s="127" t="s">
        <x:v>550</x:v>
      </x:c>
      <x:c r="E64" s="160">
        <x:v>0</x:v>
      </x:c>
      <x:c r="F64" s="22" t="s">
        <x:v>51</x:v>
      </x:c>
      <x:c r="G64" s="22" t="s">
        <x:v>617</x:v>
      </x:c>
      <x:c r="H64" s="144">
        <x:v>46151</x:v>
      </x:c>
      <x:c r="I64" s="127">
        <x:v>23.780000000000001</x:v>
      </x:c>
      <x:c r="J64" s="127">
        <x:v>46135</x:v>
      </x:c>
      <x:c r="K64" s="22" t="s">
        <x:v>299</x:v>
      </x:c>
      <x:c r="L64" s="125"/>
      <x:c r="M64" s="125"/>
    </x:row>
    <x:row r="65" spans="1:13" ht="22.050000000000001">
      <x:c r="A65" s="31" t="s">
        <x:v>583</x:v>
      </x:c>
      <x:c r="B65" s="31" t="s">
        <x:v>571</x:v>
      </x:c>
      <x:c r="C65" s="124"/>
      <x:c r="D65" s="124" t="s">
        <x:v>550</x:v>
      </x:c>
      <x:c r="E65" s="158">
        <x:v>0</x:v>
      </x:c>
      <x:c r="F65" s="31" t="s">
        <x:v>51</x:v>
      </x:c>
      <x:c r="G65" s="31" t="s">
        <x:v>617</x:v>
      </x:c>
      <x:c r="H65" s="142">
        <x:v>46151</x:v>
      </x:c>
      <x:c r="I65" s="124">
        <x:v>23.780000000000001</x:v>
      </x:c>
      <x:c r="J65" s="125"/>
      <x:c r="K65" s="32"/>
      <x:c r="L65" s="125"/>
      <x:c r="M65" s="125"/>
    </x:row>
    <x:row r="66" spans="1:13" ht="22.050000000000001">
      <x:c r="A66" s="22" t="s">
        <x:v>583</x:v>
      </x:c>
      <x:c r="B66" s="22" t="s">
        <x:v>571</x:v>
      </x:c>
      <x:c r="C66" s="127"/>
      <x:c r="D66" s="127" t="s">
        <x:v>550</x:v>
      </x:c>
      <x:c r="E66" s="160">
        <x:v>15</x:v>
      </x:c>
      <x:c r="F66" s="22" t="s">
        <x:v>51</x:v>
      </x:c>
      <x:c r="G66" s="22" t="s">
        <x:v>617</x:v>
      </x:c>
      <x:c r="H66" s="144">
        <x:v>46151</x:v>
      </x:c>
      <x:c r="I66" s="127">
        <x:v>23.780000000000001</x:v>
      </x:c>
      <x:c r="J66" s="127">
        <x:v>46139</x:v>
      </x:c>
      <x:c r="K66" s="22" t="s">
        <x:v>869</x:v>
      </x:c>
      <x:c r="L66" s="125"/>
      <x:c r="M66" s="125"/>
    </x:row>
    <x:row r="67" spans="1:13" ht="22.050000000000001">
      <x:c r="A67" s="23" t="s">
        <x:v>583</x:v>
      </x:c>
      <x:c r="B67" s="23" t="s">
        <x:v>571</x:v>
      </x:c>
      <x:c r="C67" s="124"/>
      <x:c r="D67" s="124" t="s">
        <x:v>550</x:v>
      </x:c>
      <x:c r="E67" s="158">
        <x:v>120</x:v>
      </x:c>
      <x:c r="F67" s="23" t="s">
        <x:v>5</x:v>
      </x:c>
      <x:c r="G67" s="23" t="s">
        <x:v>617</x:v>
      </x:c>
      <x:c r="H67" s="142">
        <x:v>46157</x:v>
      </x:c>
      <x:c r="I67" s="124">
        <x:v>24.34</x:v>
      </x:c>
      <x:c r="J67" s="125"/>
      <x:c r="K67" s="25"/>
      <x:c r="L67" s="127"/>
      <x:c r="M67" s="127"/>
    </x:row>
    <x:row r="68" spans="1:13" ht="22.050000000000001">
      <x:c r="A68" s="38" t="s">
        <x:v>577</x:v>
      </x:c>
      <x:c r="B68" s="38" t="s">
        <x:v>573</x:v>
      </x:c>
      <x:c r="C68" s="128" t="s">
        <x:v>631</x:v>
      </x:c>
      <x:c r="D68" s="128" t="s">
        <x:v>685</x:v>
      </x:c>
      <x:c r="E68" s="161">
        <x:v>51</x:v>
      </x:c>
      <x:c r="F68" s="38" t="s">
        <x:v>18</x:v>
      </x:c>
      <x:c r="G68" s="38" t="s">
        <x:v>617</x:v>
      </x:c>
      <x:c r="H68" s="145">
        <x:v>46188</x:v>
      </x:c>
      <x:c r="I68" s="128">
        <x:v>29.600000000000001</x:v>
      </x:c>
      <x:c r="J68" s="127"/>
      <x:c r="K68" s="22"/>
      <x:c r="L68" s="127" t="b">
        <x:v>1</x:v>
      </x:c>
      <x:c r="M68" s="127"/>
    </x:row>
    <x:row r="69" spans="1:13" ht="22.050000000000001">
      <x:c r="A69" s="31" t="s">
        <x:v>597</x:v>
      </x:c>
      <x:c r="B69" s="23" t="s">
        <x:v>533</x:v>
      </x:c>
      <x:c r="C69" s="124" t="s">
        <x:v>627</x:v>
      </x:c>
      <x:c r="D69" s="124" t="s">
        <x:v>670</x:v>
      </x:c>
      <x:c r="E69" s="158">
        <x:v>3</x:v>
      </x:c>
      <x:c r="F69" s="23" t="s">
        <x:v>44</x:v>
      </x:c>
      <x:c r="G69" s="23" t="s">
        <x:v>617</x:v>
      </x:c>
      <x:c r="H69" s="142">
        <x:v>46181</x:v>
      </x:c>
      <x:c r="I69" s="124">
        <x:v>21.449999999999999</x:v>
      </x:c>
      <x:c r="J69" s="125"/>
      <x:c r="K69" s="25"/>
      <x:c r="L69" s="127"/>
      <x:c r="M69" s="127"/>
    </x:row>
    <x:row r="70" spans="1:13" ht="22.050000000000001">
      <x:c r="A70" s="30" t="s">
        <x:v>597</x:v>
      </x:c>
      <x:c r="B70" s="30" t="s">
        <x:v>678</x:v>
      </x:c>
      <x:c r="C70" s="123" t="s">
        <x:v>627</x:v>
      </x:c>
      <x:c r="D70" s="123" t="s">
        <x:v>601</x:v>
      </x:c>
      <x:c r="E70" s="157">
        <x:v>6</x:v>
      </x:c>
      <x:c r="F70" s="30" t="s">
        <x:v>287</x:v>
      </x:c>
      <x:c r="G70" s="20" t="s">
        <x:v>617</x:v>
      </x:c>
      <x:c r="H70" s="141">
        <x:v>46156</x:v>
      </x:c>
      <x:c r="I70" s="123">
        <x:v>20.556666669999998</x:v>
      </x:c>
      <x:c r="J70" s="127"/>
      <x:c r="K70" s="37"/>
      <x:c r="L70" s="125"/>
      <x:c r="M70" s="125"/>
    </x:row>
    <x:row r="71" spans="1:13" ht="22.050000000000001">
      <x:c r="A71" s="23" t="s">
        <x:v>597</x:v>
      </x:c>
      <x:c r="B71" s="23" t="s">
        <x:v>678</x:v>
      </x:c>
      <x:c r="C71" s="124" t="s">
        <x:v>627</x:v>
      </x:c>
      <x:c r="D71" s="124" t="s">
        <x:v>601</x:v>
      </x:c>
      <x:c r="E71" s="158">
        <x:v>6</x:v>
      </x:c>
      <x:c r="F71" s="23" t="s">
        <x:v>4</x:v>
      </x:c>
      <x:c r="G71" s="23" t="s">
        <x:v>617</x:v>
      </x:c>
      <x:c r="H71" s="142">
        <x:v>46164</x:v>
      </x:c>
      <x:c r="I71" s="124">
        <x:v>21.550000000000001</x:v>
      </x:c>
      <x:c r="J71" s="125"/>
      <x:c r="K71" s="29"/>
      <x:c r="L71" s="127"/>
      <x:c r="M71" s="127"/>
    </x:row>
    <x:row r="72" spans="1:13" ht="22.050000000000001">
      <x:c r="A72" s="20" t="s">
        <x:v>597</x:v>
      </x:c>
      <x:c r="B72" s="20" t="s">
        <x:v>678</x:v>
      </x:c>
      <x:c r="C72" s="123" t="s">
        <x:v>627</x:v>
      </x:c>
      <x:c r="D72" s="123" t="s">
        <x:v>601</x:v>
      </x:c>
      <x:c r="E72" s="157">
        <x:v>7</x:v>
      </x:c>
      <x:c r="F72" s="20" t="s">
        <x:v>16</x:v>
      </x:c>
      <x:c r="G72" s="20" t="s">
        <x:v>617</x:v>
      </x:c>
      <x:c r="H72" s="141">
        <x:v>46192</x:v>
      </x:c>
      <x:c r="I72" s="123">
        <x:v>19.777142860000001</x:v>
      </x:c>
      <x:c r="J72" s="127"/>
      <x:c r="K72" s="22"/>
      <x:c r="L72" s="127"/>
      <x:c r="M72" s="127"/>
    </x:row>
    <x:row r="73" spans="1:13" ht="22.050000000000001">
      <x:c r="A73" s="23" t="s">
        <x:v>310</x:v>
      </x:c>
      <x:c r="B73" s="23" t="s">
        <x:v>533</x:v>
      </x:c>
      <x:c r="C73" s="124" t="s">
        <x:v>631</x:v>
      </x:c>
      <x:c r="D73" s="124" t="s">
        <x:v>625</x:v>
      </x:c>
      <x:c r="E73" s="158">
        <x:v>10</x:v>
      </x:c>
      <x:c r="F73" s="24" t="s">
        <x:v>6</x:v>
      </x:c>
      <x:c r="G73" s="23" t="s">
        <x:v>617</x:v>
      </x:c>
      <x:c r="H73" s="142">
        <x:v>46155</x:v>
      </x:c>
      <x:c r="I73" s="124">
        <x:v>18.139459460000001</x:v>
      </x:c>
      <x:c r="J73" s="125"/>
      <x:c r="K73" s="25"/>
      <x:c r="L73" s="127"/>
      <x:c r="M73" s="127"/>
    </x:row>
    <x:row r="74" spans="1:13" ht="22.050000000000001">
      <x:c r="A74" s="20" t="s">
        <x:v>310</x:v>
      </x:c>
      <x:c r="B74" s="20" t="s">
        <x:v>533</x:v>
      </x:c>
      <x:c r="C74" s="123" t="s">
        <x:v>631</x:v>
      </x:c>
      <x:c r="D74" s="123" t="s">
        <x:v>625</x:v>
      </x:c>
      <x:c r="E74" s="157">
        <x:v>18</x:v>
      </x:c>
      <x:c r="F74" s="20" t="s">
        <x:v>33</x:v>
      </x:c>
      <x:c r="G74" s="20" t="s">
        <x:v>617</x:v>
      </x:c>
      <x:c r="H74" s="141">
        <x:v>46158</x:v>
      </x:c>
      <x:c r="I74" s="123">
        <x:v>19.52</x:v>
      </x:c>
      <x:c r="J74" s="127"/>
      <x:c r="K74" s="22"/>
      <x:c r="L74" s="127"/>
      <x:c r="M74" s="127"/>
    </x:row>
    <x:row r="75" spans="1:13" ht="22.050000000000001">
      <x:c r="A75" s="23" t="s">
        <x:v>310</x:v>
      </x:c>
      <x:c r="B75" s="23" t="s">
        <x:v>533</x:v>
      </x:c>
      <x:c r="C75" s="124" t="s">
        <x:v>631</x:v>
      </x:c>
      <x:c r="D75" s="124" t="s">
        <x:v>635</x:v>
      </x:c>
      <x:c r="E75" s="158">
        <x:v>8</x:v>
      </x:c>
      <x:c r="F75" s="23" t="s">
        <x:v>27</x:v>
      </x:c>
      <x:c r="G75" s="23" t="s">
        <x:v>617</x:v>
      </x:c>
      <x:c r="H75" s="142">
        <x:v>46165</x:v>
      </x:c>
      <x:c r="I75" s="124">
        <x:v>17.289999999999999</x:v>
      </x:c>
      <x:c r="J75" s="125"/>
      <x:c r="K75" s="25"/>
      <x:c r="L75" s="127"/>
      <x:c r="M75" s="127"/>
    </x:row>
    <x:row r="76" spans="1:13" ht="22.050000000000001">
      <x:c r="A76" s="20" t="s">
        <x:v>310</x:v>
      </x:c>
      <x:c r="B76" s="20" t="s">
        <x:v>533</x:v>
      </x:c>
      <x:c r="C76" s="123" t="s">
        <x:v>631</x:v>
      </x:c>
      <x:c r="D76" s="123" t="s">
        <x:v>625</x:v>
      </x:c>
      <x:c r="E76" s="157">
        <x:v>9</x:v>
      </x:c>
      <x:c r="F76" s="20" t="s">
        <x:v>263</x:v>
      </x:c>
      <x:c r="G76" s="20" t="s">
        <x:v>617</x:v>
      </x:c>
      <x:c r="H76" s="141">
        <x:v>46176</x:v>
      </x:c>
      <x:c r="I76" s="123">
        <x:v>18.440000000000001</x:v>
      </x:c>
      <x:c r="J76" s="127"/>
      <x:c r="K76" s="22"/>
      <x:c r="L76" s="127"/>
      <x:c r="M76" s="127"/>
    </x:row>
    <x:row r="77" spans="1:13" ht="22.050000000000001">
      <x:c r="A77" s="31" t="s">
        <x:v>310</x:v>
      </x:c>
      <x:c r="B77" s="31" t="s">
        <x:v>533</x:v>
      </x:c>
      <x:c r="C77" s="124" t="s">
        <x:v>631</x:v>
      </x:c>
      <x:c r="D77" s="124" t="s">
        <x:v>625</x:v>
      </x:c>
      <x:c r="E77" s="158">
        <x:v>9</x:v>
      </x:c>
      <x:c r="F77" s="31" t="s">
        <x:v>8</x:v>
      </x:c>
      <x:c r="G77" s="31" t="s">
        <x:v>617</x:v>
      </x:c>
      <x:c r="H77" s="142">
        <x:v>46181</x:v>
      </x:c>
      <x:c r="I77" s="124">
        <x:v>18.960000000000001</x:v>
      </x:c>
      <x:c r="J77" s="125"/>
      <x:c r="K77" s="25"/>
      <x:c r="L77" s="127"/>
      <x:c r="M77" s="127"/>
    </x:row>
    <x:row r="78" spans="1:13" ht="22.050000000000001">
      <x:c r="A78" s="20" t="s">
        <x:v>310</x:v>
      </x:c>
      <x:c r="B78" s="20" t="s">
        <x:v>533</x:v>
      </x:c>
      <x:c r="C78" s="123" t="s">
        <x:v>627</x:v>
      </x:c>
      <x:c r="D78" s="123" t="s">
        <x:v>625</x:v>
      </x:c>
      <x:c r="E78" s="157">
        <x:v>5</x:v>
      </x:c>
      <x:c r="F78" s="20" t="s">
        <x:v>263</x:v>
      </x:c>
      <x:c r="G78" s="20" t="s">
        <x:v>617</x:v>
      </x:c>
      <x:c r="H78" s="141">
        <x:v>46176</x:v>
      </x:c>
      <x:c r="I78" s="123">
        <x:v>24.219999999999999</x:v>
      </x:c>
      <x:c r="J78" s="127"/>
      <x:c r="K78" s="22"/>
      <x:c r="L78" s="127"/>
      <x:c r="M78" s="127"/>
    </x:row>
    <x:row r="79" spans="1:13" ht="22.050000000000001">
      <x:c r="A79" s="31" t="s">
        <x:v>310</x:v>
      </x:c>
      <x:c r="B79" s="31" t="s">
        <x:v>533</x:v>
      </x:c>
      <x:c r="C79" s="124" t="s">
        <x:v>627</x:v>
      </x:c>
      <x:c r="D79" s="124" t="s">
        <x:v>625</x:v>
      </x:c>
      <x:c r="E79" s="158">
        <x:v>9</x:v>
      </x:c>
      <x:c r="F79" s="31" t="s">
        <x:v>8</x:v>
      </x:c>
      <x:c r="G79" s="31" t="s">
        <x:v>617</x:v>
      </x:c>
      <x:c r="H79" s="142">
        <x:v>46181</x:v>
      </x:c>
      <x:c r="I79" s="124">
        <x:v>24.030000000000001</x:v>
      </x:c>
      <x:c r="J79" s="125"/>
      <x:c r="K79" s="25"/>
      <x:c r="L79" s="127"/>
      <x:c r="M79" s="127"/>
    </x:row>
    <x:row r="80" spans="1:13" ht="22.050000000000001">
      <x:c r="A80" s="22" t="s">
        <x:v>310</x:v>
      </x:c>
      <x:c r="B80" s="22" t="s">
        <x:v>533</x:v>
      </x:c>
      <x:c r="C80" s="127" t="s">
        <x:v>626</x:v>
      </x:c>
      <x:c r="D80" s="127" t="s">
        <x:v>670</x:v>
      </x:c>
      <x:c r="E80" s="160">
        <x:v>0</x:v>
      </x:c>
      <x:c r="F80" s="22" t="s">
        <x:v>21</x:v>
      </x:c>
      <x:c r="G80" s="22" t="s">
        <x:v>617</x:v>
      </x:c>
      <x:c r="H80" s="144">
        <x:v>46160</x:v>
      </x:c>
      <x:c r="I80" s="127">
        <x:v>18.59</x:v>
      </x:c>
      <x:c r="J80" s="127">
        <x:v>46135</x:v>
      </x:c>
      <x:c r="K80" s="22" t="s">
        <x:v>299</x:v>
      </x:c>
      <x:c r="L80" s="125"/>
      <x:c r="M80" s="125"/>
    </x:row>
    <x:row r="81" spans="1:13" ht="22.050000000000001">
      <x:c r="A81" s="23" t="s">
        <x:v>310</x:v>
      </x:c>
      <x:c r="B81" s="23" t="s">
        <x:v>533</x:v>
      </x:c>
      <x:c r="C81" s="124" t="s">
        <x:v>626</x:v>
      </x:c>
      <x:c r="D81" s="124" t="s">
        <x:v>670</x:v>
      </x:c>
      <x:c r="E81" s="158">
        <x:v>33</x:v>
      </x:c>
      <x:c r="F81" s="23" t="s">
        <x:v>40</x:v>
      </x:c>
      <x:c r="G81" s="23" t="s">
        <x:v>617</x:v>
      </x:c>
      <x:c r="H81" s="142">
        <x:v>46167</x:v>
      </x:c>
      <x:c r="I81" s="124">
        <x:v>18.670000000000002</x:v>
      </x:c>
      <x:c r="J81" s="125"/>
      <x:c r="K81" s="25"/>
      <x:c r="L81" s="127"/>
      <x:c r="M81" s="127"/>
    </x:row>
    <x:row r="82" spans="1:13" ht="22.050000000000001">
      <x:c r="A82" s="20" t="s">
        <x:v>310</x:v>
      </x:c>
      <x:c r="B82" s="20" t="s">
        <x:v>533</x:v>
      </x:c>
      <x:c r="C82" s="123" t="s">
        <x:v>626</x:v>
      </x:c>
      <x:c r="D82" s="123" t="s">
        <x:v>625</x:v>
      </x:c>
      <x:c r="E82" s="157">
        <x:v>25</x:v>
      </x:c>
      <x:c r="F82" s="20" t="s">
        <x:v>41</x:v>
      </x:c>
      <x:c r="G82" s="20" t="s">
        <x:v>617</x:v>
      </x:c>
      <x:c r="H82" s="141">
        <x:v>46173</x:v>
      </x:c>
      <x:c r="I82" s="123">
        <x:v>19.441600000000001</x:v>
      </x:c>
      <x:c r="J82" s="127"/>
      <x:c r="K82" s="22"/>
      <x:c r="L82" s="127"/>
      <x:c r="M82" s="127"/>
    </x:row>
    <x:row r="83" spans="1:13" ht="22.050000000000001">
      <x:c r="A83" s="31" t="s">
        <x:v>310</x:v>
      </x:c>
      <x:c r="B83" s="23" t="s">
        <x:v>533</x:v>
      </x:c>
      <x:c r="C83" s="124" t="s">
        <x:v>626</x:v>
      </x:c>
      <x:c r="D83" s="124" t="s">
        <x:v>670</x:v>
      </x:c>
      <x:c r="E83" s="158">
        <x:v>86</x:v>
      </x:c>
      <x:c r="F83" s="23" t="s">
        <x:v>20</x:v>
      </x:c>
      <x:c r="G83" s="23" t="s">
        <x:v>617</x:v>
      </x:c>
      <x:c r="H83" s="142">
        <x:v>46174</x:v>
      </x:c>
      <x:c r="I83" s="124">
        <x:v>18.309999999999999</x:v>
      </x:c>
      <x:c r="J83" s="125"/>
      <x:c r="K83" s="25"/>
      <x:c r="L83" s="127"/>
      <x:c r="M83" s="127"/>
    </x:row>
    <x:row r="84" spans="1:13" ht="22.050000000000001">
      <x:c r="A84" s="30" t="s">
        <x:v>310</x:v>
      </x:c>
      <x:c r="B84" s="30" t="s">
        <x:v>533</x:v>
      </x:c>
      <x:c r="C84" s="123" t="s">
        <x:v>626</x:v>
      </x:c>
      <x:c r="D84" s="123" t="s">
        <x:v>625</x:v>
      </x:c>
      <x:c r="E84" s="157">
        <x:v>79</x:v>
      </x:c>
      <x:c r="F84" s="30" t="s">
        <x:v>8</x:v>
      </x:c>
      <x:c r="G84" s="30" t="s">
        <x:v>617</x:v>
      </x:c>
      <x:c r="H84" s="141">
        <x:v>46181</x:v>
      </x:c>
      <x:c r="I84" s="123">
        <x:v>20.82</x:v>
      </x:c>
      <x:c r="J84" s="127"/>
      <x:c r="K84" s="22"/>
      <x:c r="L84" s="127"/>
      <x:c r="M84" s="127"/>
    </x:row>
    <x:row r="85" spans="1:13" ht="22.050000000000001">
      <x:c r="A85" s="23" t="s">
        <x:v>310</x:v>
      </x:c>
      <x:c r="B85" s="23" t="s">
        <x:v>678</x:v>
      </x:c>
      <x:c r="C85" s="124" t="s">
        <x:v>626</x:v>
      </x:c>
      <x:c r="D85" s="124" t="s">
        <x:v>601</x:v>
      </x:c>
      <x:c r="E85" s="158">
        <x:v>10</x:v>
      </x:c>
      <x:c r="F85" s="23" t="s">
        <x:v>16</x:v>
      </x:c>
      <x:c r="G85" s="23" t="s">
        <x:v>617</x:v>
      </x:c>
      <x:c r="H85" s="142">
        <x:v>46191</x:v>
      </x:c>
      <x:c r="I85" s="124">
        <x:v>21.737333329999998</x:v>
      </x:c>
      <x:c r="J85" s="125"/>
      <x:c r="K85" s="25"/>
      <x:c r="L85" s="127"/>
      <x:c r="M85" s="127"/>
    </x:row>
    <x:row r="86" spans="1:13" ht="22.050000000000001">
      <x:c r="A86" s="20" t="s">
        <x:v>320</x:v>
      </x:c>
      <x:c r="B86" s="20" t="s">
        <x:v>533</x:v>
      </x:c>
      <x:c r="C86" s="123" t="s">
        <x:v>631</x:v>
      </x:c>
      <x:c r="D86" s="123" t="s">
        <x:v>670</x:v>
      </x:c>
      <x:c r="E86" s="157">
        <x:v>4</x:v>
      </x:c>
      <x:c r="F86" s="20" t="s">
        <x:v>21</x:v>
      </x:c>
      <x:c r="G86" s="20" t="s">
        <x:v>617</x:v>
      </x:c>
      <x:c r="H86" s="141">
        <x:v>46160</x:v>
      </x:c>
      <x:c r="I86" s="123">
        <x:v>24.149999999999999</x:v>
      </x:c>
      <x:c r="J86" s="127"/>
      <x:c r="K86" s="22"/>
      <x:c r="L86" s="127"/>
      <x:c r="M86" s="127"/>
    </x:row>
    <x:row r="87" spans="1:13" ht="22.050000000000001">
      <x:c r="A87" s="23" t="s">
        <x:v>320</x:v>
      </x:c>
      <x:c r="B87" s="23" t="s">
        <x:v>533</x:v>
      </x:c>
      <x:c r="C87" s="124" t="s">
        <x:v>631</x:v>
      </x:c>
      <x:c r="D87" s="124" t="s">
        <x:v>670</x:v>
      </x:c>
      <x:c r="E87" s="158">
        <x:v>7</x:v>
      </x:c>
      <x:c r="F87" s="23" t="s">
        <x:v>40</x:v>
      </x:c>
      <x:c r="G87" s="23" t="s">
        <x:v>617</x:v>
      </x:c>
      <x:c r="H87" s="142">
        <x:v>46167</x:v>
      </x:c>
      <x:c r="I87" s="124">
        <x:v>22.969999999999999</x:v>
      </x:c>
      <x:c r="J87" s="125"/>
      <x:c r="K87" s="25"/>
      <x:c r="L87" s="127"/>
      <x:c r="M87" s="127"/>
    </x:row>
    <x:row r="88" spans="1:13" ht="22.050000000000001">
      <x:c r="A88" s="30" t="s">
        <x:v>320</x:v>
      </x:c>
      <x:c r="B88" s="20" t="s">
        <x:v>533</x:v>
      </x:c>
      <x:c r="C88" s="123" t="s">
        <x:v>631</x:v>
      </x:c>
      <x:c r="D88" s="123" t="s">
        <x:v>670</x:v>
      </x:c>
      <x:c r="E88" s="157">
        <x:v>7</x:v>
      </x:c>
      <x:c r="F88" s="20" t="s">
        <x:v>20</x:v>
      </x:c>
      <x:c r="G88" s="20" t="s">
        <x:v>617</x:v>
      </x:c>
      <x:c r="H88" s="141">
        <x:v>46174</x:v>
      </x:c>
      <x:c r="I88" s="123">
        <x:v>24.300000000000001</x:v>
      </x:c>
      <x:c r="J88" s="127"/>
      <x:c r="K88" s="22"/>
      <x:c r="L88" s="127"/>
      <x:c r="M88" s="127"/>
    </x:row>
    <x:row r="89" spans="1:13" ht="22.050000000000001">
      <x:c r="A89" s="31" t="s">
        <x:v>320</x:v>
      </x:c>
      <x:c r="B89" s="23" t="s">
        <x:v>533</x:v>
      </x:c>
      <x:c r="C89" s="124" t="s">
        <x:v>631</x:v>
      </x:c>
      <x:c r="D89" s="124" t="s">
        <x:v>670</x:v>
      </x:c>
      <x:c r="E89" s="158">
        <x:v>7</x:v>
      </x:c>
      <x:c r="F89" s="23" t="s">
        <x:v>44</x:v>
      </x:c>
      <x:c r="G89" s="23" t="s">
        <x:v>617</x:v>
      </x:c>
      <x:c r="H89" s="142">
        <x:v>46181</x:v>
      </x:c>
      <x:c r="I89" s="124">
        <x:v>23.760000000000002</x:v>
      </x:c>
      <x:c r="J89" s="125"/>
      <x:c r="K89" s="25"/>
      <x:c r="L89" s="127"/>
      <x:c r="M89" s="127"/>
    </x:row>
    <x:row r="90" spans="1:13" ht="22.050000000000001">
      <x:c r="A90" s="20" t="s">
        <x:v>320</x:v>
      </x:c>
      <x:c r="B90" s="20" t="s">
        <x:v>533</x:v>
      </x:c>
      <x:c r="C90" s="123" t="s">
        <x:v>627</x:v>
      </x:c>
      <x:c r="D90" s="123" t="s">
        <x:v>635</x:v>
      </x:c>
      <x:c r="E90" s="157">
        <x:v>4</x:v>
      </x:c>
      <x:c r="F90" s="20" t="s">
        <x:v>27</x:v>
      </x:c>
      <x:c r="G90" s="20" t="s">
        <x:v>617</x:v>
      </x:c>
      <x:c r="H90" s="141">
        <x:v>46165</x:v>
      </x:c>
      <x:c r="I90" s="123">
        <x:v>22.379999999999999</x:v>
      </x:c>
      <x:c r="J90" s="127"/>
      <x:c r="K90" s="22"/>
      <x:c r="L90" s="127"/>
      <x:c r="M90" s="127"/>
    </x:row>
    <x:row r="91" spans="1:13" ht="22.050000000000001">
      <x:c r="A91" s="23" t="s">
        <x:v>320</x:v>
      </x:c>
      <x:c r="B91" s="23" t="s">
        <x:v>533</x:v>
      </x:c>
      <x:c r="C91" s="124" t="s">
        <x:v>627</x:v>
      </x:c>
      <x:c r="D91" s="124" t="s">
        <x:v>625</x:v>
      </x:c>
      <x:c r="E91" s="158">
        <x:v>3</x:v>
      </x:c>
      <x:c r="F91" s="23" t="s">
        <x:v>263</x:v>
      </x:c>
      <x:c r="G91" s="23" t="s">
        <x:v>617</x:v>
      </x:c>
      <x:c r="H91" s="142">
        <x:v>46176</x:v>
      </x:c>
      <x:c r="I91" s="124">
        <x:v>21.949999999999999</x:v>
      </x:c>
      <x:c r="J91" s="125"/>
      <x:c r="K91" s="25"/>
      <x:c r="L91" s="127"/>
      <x:c r="M91" s="127"/>
    </x:row>
    <x:row r="92" spans="1:13" ht="22.050000000000001">
      <x:c r="A92" s="30" t="s">
        <x:v>320</x:v>
      </x:c>
      <x:c r="B92" s="30" t="s">
        <x:v>533</x:v>
      </x:c>
      <x:c r="C92" s="123" t="s">
        <x:v>627</x:v>
      </x:c>
      <x:c r="D92" s="123" t="s">
        <x:v>625</x:v>
      </x:c>
      <x:c r="E92" s="157">
        <x:v>4</x:v>
      </x:c>
      <x:c r="F92" s="30" t="s">
        <x:v>8</x:v>
      </x:c>
      <x:c r="G92" s="30" t="s">
        <x:v>617</x:v>
      </x:c>
      <x:c r="H92" s="141">
        <x:v>46181</x:v>
      </x:c>
      <x:c r="I92" s="123">
        <x:v>20.59</x:v>
      </x:c>
      <x:c r="J92" s="127"/>
      <x:c r="K92" s="22"/>
      <x:c r="L92" s="127"/>
      <x:c r="M92" s="127"/>
    </x:row>
    <x:row r="93" spans="1:13" ht="22.050000000000001">
      <x:c r="A93" s="23" t="s">
        <x:v>320</x:v>
      </x:c>
      <x:c r="B93" s="23" t="s">
        <x:v>533</x:v>
      </x:c>
      <x:c r="C93" s="124" t="s">
        <x:v>626</x:v>
      </x:c>
      <x:c r="D93" s="124" t="s">
        <x:v>635</x:v>
      </x:c>
      <x:c r="E93" s="158">
        <x:v>1</x:v>
      </x:c>
      <x:c r="F93" s="23" t="s">
        <x:v>27</x:v>
      </x:c>
      <x:c r="G93" s="23" t="s">
        <x:v>617</x:v>
      </x:c>
      <x:c r="H93" s="142">
        <x:v>46165</x:v>
      </x:c>
      <x:c r="I93" s="124">
        <x:v>24.359999999999999</x:v>
      </x:c>
      <x:c r="J93" s="125"/>
      <x:c r="K93" s="25"/>
      <x:c r="L93" s="127"/>
      <x:c r="M93" s="127"/>
    </x:row>
    <x:row r="94" spans="1:13" ht="22.050000000000001">
      <x:c r="A94" s="20" t="s">
        <x:v>320</x:v>
      </x:c>
      <x:c r="B94" s="20" t="s">
        <x:v>678</x:v>
      </x:c>
      <x:c r="C94" s="123" t="s">
        <x:v>631</x:v>
      </x:c>
      <x:c r="D94" s="123" t="s">
        <x:v>601</x:v>
      </x:c>
      <x:c r="E94" s="157">
        <x:v>5</x:v>
      </x:c>
      <x:c r="F94" s="20" t="s">
        <x:v>16</x:v>
      </x:c>
      <x:c r="G94" s="20" t="s">
        <x:v>617</x:v>
      </x:c>
      <x:c r="H94" s="141">
        <x:v>46188</x:v>
      </x:c>
      <x:c r="I94" s="123">
        <x:v>29.530000000000001</x:v>
      </x:c>
      <x:c r="J94" s="127"/>
      <x:c r="K94" s="22"/>
      <x:c r="L94" s="127"/>
      <x:c r="M94" s="127"/>
    </x:row>
    <x:row r="95" spans="1:13" ht="22.050000000000001">
      <x:c r="A95" s="31" t="s">
        <x:v>598</x:v>
      </x:c>
      <x:c r="B95" s="31" t="s">
        <x:v>533</x:v>
      </x:c>
      <x:c r="C95" s="124" t="s">
        <x:v>626</x:v>
      </x:c>
      <x:c r="D95" s="124" t="s">
        <x:v>625</x:v>
      </x:c>
      <x:c r="E95" s="158">
        <x:v>3</x:v>
      </x:c>
      <x:c r="F95" s="31" t="s">
        <x:v>41</x:v>
      </x:c>
      <x:c r="G95" s="23" t="s">
        <x:v>617</x:v>
      </x:c>
      <x:c r="H95" s="142">
        <x:v>46173</x:v>
      </x:c>
      <x:c r="I95" s="124">
        <x:v>21.91</x:v>
      </x:c>
      <x:c r="J95" s="125"/>
      <x:c r="K95" s="32"/>
      <x:c r="L95" s="125"/>
      <x:c r="M95" s="125"/>
    </x:row>
    <x:row r="96" spans="1:13" ht="22.050000000000001">
      <x:c r="A96" s="30" t="s">
        <x:v>558</x:v>
      </x:c>
      <x:c r="B96" s="20" t="s">
        <x:v>533</x:v>
      </x:c>
      <x:c r="C96" s="123" t="s">
        <x:v>627</x:v>
      </x:c>
      <x:c r="D96" s="123" t="s">
        <x:v>670</x:v>
      </x:c>
      <x:c r="E96" s="157">
        <x:v>16</x:v>
      </x:c>
      <x:c r="F96" s="20" t="s">
        <x:v>20</x:v>
      </x:c>
      <x:c r="G96" s="20" t="s">
        <x:v>617</x:v>
      </x:c>
      <x:c r="H96" s="141">
        <x:v>46174</x:v>
      </x:c>
      <x:c r="I96" s="123">
        <x:v>21.43</x:v>
      </x:c>
      <x:c r="J96" s="127"/>
      <x:c r="K96" s="22"/>
      <x:c r="L96" s="127"/>
      <x:c r="M96" s="127"/>
    </x:row>
    <x:row r="97" spans="1:13" ht="22.050000000000001">
      <x:c r="A97" s="31" t="s">
        <x:v>558</x:v>
      </x:c>
      <x:c r="B97" s="31" t="s">
        <x:v>533</x:v>
      </x:c>
      <x:c r="C97" s="124" t="s">
        <x:v>627</x:v>
      </x:c>
      <x:c r="D97" s="124" t="s">
        <x:v>625</x:v>
      </x:c>
      <x:c r="E97" s="158">
        <x:v>16</x:v>
      </x:c>
      <x:c r="F97" s="31" t="s">
        <x:v>8</x:v>
      </x:c>
      <x:c r="G97" s="31" t="s">
        <x:v>617</x:v>
      </x:c>
      <x:c r="H97" s="142">
        <x:v>46181</x:v>
      </x:c>
      <x:c r="I97" s="124">
        <x:v>19.670000000000002</x:v>
      </x:c>
      <x:c r="J97" s="125"/>
      <x:c r="K97" s="25"/>
      <x:c r="L97" s="127"/>
      <x:c r="M97" s="127"/>
    </x:row>
    <x:row r="98" spans="1:13" ht="22.050000000000001">
      <x:c r="A98" s="20" t="s">
        <x:v>558</x:v>
      </x:c>
      <x:c r="B98" s="20" t="s">
        <x:v>533</x:v>
      </x:c>
      <x:c r="C98" s="123" t="s">
        <x:v>626</x:v>
      </x:c>
      <x:c r="D98" s="123" t="s">
        <x:v>625</x:v>
      </x:c>
      <x:c r="E98" s="157">
        <x:v>2</x:v>
      </x:c>
      <x:c r="F98" s="20" t="s">
        <x:v>263</x:v>
      </x:c>
      <x:c r="G98" s="20" t="s">
        <x:v>617</x:v>
      </x:c>
      <x:c r="H98" s="141">
        <x:v>46176</x:v>
      </x:c>
      <x:c r="I98" s="123">
        <x:v>21.699999999999999</x:v>
      </x:c>
      <x:c r="J98" s="127"/>
      <x:c r="K98" s="22"/>
      <x:c r="L98" s="127"/>
      <x:c r="M98" s="127"/>
    </x:row>
    <x:row r="99" spans="1:13" ht="22.050000000000001">
      <x:c r="A99" s="31" t="s">
        <x:v>558</x:v>
      </x:c>
      <x:c r="B99" s="31" t="s">
        <x:v>533</x:v>
      </x:c>
      <x:c r="C99" s="124" t="s">
        <x:v>626</x:v>
      </x:c>
      <x:c r="D99" s="124" t="s">
        <x:v>625</x:v>
      </x:c>
      <x:c r="E99" s="158">
        <x:v>6</x:v>
      </x:c>
      <x:c r="F99" s="31" t="s">
        <x:v>8</x:v>
      </x:c>
      <x:c r="G99" s="31" t="s">
        <x:v>617</x:v>
      </x:c>
      <x:c r="H99" s="142">
        <x:v>46181</x:v>
      </x:c>
      <x:c r="I99" s="124">
        <x:v>20.760000000000002</x:v>
      </x:c>
      <x:c r="J99" s="125"/>
      <x:c r="K99" s="25"/>
      <x:c r="L99" s="127"/>
      <x:c r="M99" s="127"/>
    </x:row>
    <x:row r="100" spans="1:13" ht="22.050000000000001">
      <x:c r="A100" s="20" t="s">
        <x:v>558</x:v>
      </x:c>
      <x:c r="B100" s="20" t="s">
        <x:v>533</x:v>
      </x:c>
      <x:c r="C100" s="123" t="s">
        <x:v>578</x:v>
      </x:c>
      <x:c r="D100" s="123" t="s">
        <x:v>625</x:v>
      </x:c>
      <x:c r="E100" s="157">
        <x:v>0</x:v>
      </x:c>
      <x:c r="F100" s="20" t="s">
        <x:v>148</x:v>
      </x:c>
      <x:c r="G100" s="20" t="s">
        <x:v>617</x:v>
      </x:c>
      <x:c r="H100" s="141">
        <x:v>46163</x:v>
      </x:c>
      <x:c r="I100" s="129">
        <x:v>19.75111111</x:v>
      </x:c>
      <x:c r="J100" s="127"/>
      <x:c r="K100" s="22"/>
      <x:c r="L100" s="127"/>
      <x:c r="M100" s="127"/>
    </x:row>
    <x:row r="101" spans="1:13" ht="22.050000000000001">
      <x:c r="A101" s="23" t="s">
        <x:v>558</x:v>
      </x:c>
      <x:c r="B101" s="31" t="s">
        <x:v>1014</x:v>
      </x:c>
      <x:c r="C101" s="124" t="s">
        <x:v>627</x:v>
      </x:c>
      <x:c r="D101" s="124" t="s">
        <x:v>596</x:v>
      </x:c>
      <x:c r="E101" s="158">
        <x:v>56</x:v>
      </x:c>
      <x:c r="F101" s="23" t="s">
        <x:v>3</x:v>
      </x:c>
      <x:c r="G101" s="23" t="s">
        <x:v>617</x:v>
      </x:c>
      <x:c r="H101" s="142">
        <x:v>46170</x:v>
      </x:c>
      <x:c r="I101" s="124">
        <x:v>17.030000000000001</x:v>
      </x:c>
      <x:c r="J101" s="125"/>
      <x:c r="K101" s="25"/>
      <x:c r="L101" s="127"/>
      <x:c r="M101" s="127"/>
    </x:row>
    <x:row r="102" spans="1:13" ht="22.050000000000001">
      <x:c r="A102" s="22" t="s">
        <x:v>558</x:v>
      </x:c>
      <x:c r="B102" s="22" t="s">
        <x:v>1014</x:v>
      </x:c>
      <x:c r="C102" s="127" t="s">
        <x:v>627</x:v>
      </x:c>
      <x:c r="D102" s="127">
        <x:v>267</x:v>
      </x:c>
      <x:c r="E102" s="160">
        <x:v>14</x:v>
      </x:c>
      <x:c r="F102" s="22" t="s">
        <x:v>31</x:v>
      </x:c>
      <x:c r="G102" s="22" t="s">
        <x:v>617</x:v>
      </x:c>
      <x:c r="H102" s="144">
        <x:v>46191</x:v>
      </x:c>
      <x:c r="I102" s="127">
        <x:v>17.699999999999999</x:v>
      </x:c>
      <x:c r="J102" s="127"/>
      <x:c r="K102" s="22" t="s">
        <x:v>595</x:v>
      </x:c>
      <x:c r="L102" s="127"/>
      <x:c r="M102" s="127"/>
    </x:row>
    <x:row r="103" spans="1:13" ht="22.050000000000001">
      <x:c r="A103" s="23" t="s">
        <x:v>558</x:v>
      </x:c>
      <x:c r="B103" s="23" t="s">
        <x:v>573</x:v>
      </x:c>
      <x:c r="C103" s="124" t="s">
        <x:v>627</x:v>
      </x:c>
      <x:c r="D103" s="124">
        <x:v>969</x:v>
      </x:c>
      <x:c r="E103" s="158">
        <x:v>0</x:v>
      </x:c>
      <x:c r="F103" s="23" t="s">
        <x:v>36</x:v>
      </x:c>
      <x:c r="G103" s="31" t="s">
        <x:v>617</x:v>
      </x:c>
      <x:c r="H103" s="142">
        <x:v>46162</x:v>
      </x:c>
      <x:c r="I103" s="126">
        <x:v>20.66285714</x:v>
      </x:c>
      <x:c r="J103" s="125"/>
      <x:c r="K103" s="25"/>
      <x:c r="L103" s="127"/>
      <x:c r="M103" s="127"/>
    </x:row>
    <x:row r="104" spans="1:13" ht="22.050000000000001">
      <x:c r="A104" s="20" t="s">
        <x:v>314</x:v>
      </x:c>
      <x:c r="B104" s="20" t="s">
        <x:v>533</x:v>
      </x:c>
      <x:c r="C104" s="123" t="s">
        <x:v>636</x:v>
      </x:c>
      <x:c r="D104" s="123" t="s">
        <x:v>625</x:v>
      </x:c>
      <x:c r="E104" s="157">
        <x:v>1</x:v>
      </x:c>
      <x:c r="F104" s="20" t="s">
        <x:v>263</x:v>
      </x:c>
      <x:c r="G104" s="20" t="s">
        <x:v>617</x:v>
      </x:c>
      <x:c r="H104" s="141">
        <x:v>46176</x:v>
      </x:c>
      <x:c r="I104" s="123">
        <x:v>20.379999999999999</x:v>
      </x:c>
      <x:c r="J104" s="127"/>
      <x:c r="K104" s="22"/>
      <x:c r="L104" s="127"/>
      <x:c r="M104" s="127"/>
    </x:row>
    <x:row r="105" spans="1:13" ht="22.050000000000001">
      <x:c r="A105" s="23" t="s">
        <x:v>658</x:v>
      </x:c>
      <x:c r="B105" s="23" t="s">
        <x:v>572</x:v>
      </x:c>
      <x:c r="C105" s="124" t="s">
        <x:v>667</x:v>
      </x:c>
      <x:c r="D105" s="124">
        <x:v>558</x:v>
      </x:c>
      <x:c r="E105" s="158">
        <x:v>20</x:v>
      </x:c>
      <x:c r="F105" s="23" t="s">
        <x:v>1025</x:v>
      </x:c>
      <x:c r="G105" s="23" t="s">
        <x:v>617</x:v>
      </x:c>
      <x:c r="H105" s="142">
        <x:v>46388</x:v>
      </x:c>
      <x:c r="I105" s="124">
        <x:v>15</x:v>
      </x:c>
      <x:c r="J105" s="125"/>
      <x:c r="K105" s="25"/>
      <x:c r="L105" s="125"/>
      <x:c r="M105" s="125"/>
    </x:row>
    <x:row r="106" spans="1:13" ht="22.050000000000001">
      <x:c r="A106" s="20" t="s">
        <x:v>658</x:v>
      </x:c>
      <x:c r="B106" s="20" t="s">
        <x:v>1014</x:v>
      </x:c>
      <x:c r="C106" s="123" t="s">
        <x:v>627</x:v>
      </x:c>
      <x:c r="D106" s="123">
        <x:v>562</x:v>
      </x:c>
      <x:c r="E106" s="157">
        <x:v>59</x:v>
      </x:c>
      <x:c r="F106" s="20" t="s">
        <x:v>14</x:v>
      </x:c>
      <x:c r="G106" s="20" t="s">
        <x:v>722</x:v>
      </x:c>
      <x:c r="H106" s="141">
        <x:v>46672</x:v>
      </x:c>
      <x:c r="I106" s="123">
        <x:v>16.77</x:v>
      </x:c>
      <x:c r="J106" s="127"/>
      <x:c r="K106" s="22"/>
      <x:c r="L106" s="127"/>
      <x:c r="M106" s="127"/>
    </x:row>
    <x:row r="107" spans="1:13" ht="22.050000000000001">
      <x:c r="A107" s="23" t="s">
        <x:v>658</x:v>
      </x:c>
      <x:c r="B107" s="23" t="s">
        <x:v>1014</x:v>
      </x:c>
      <x:c r="C107" s="124" t="s">
        <x:v>627</x:v>
      </x:c>
      <x:c r="D107" s="124">
        <x:v>267</x:v>
      </x:c>
      <x:c r="E107" s="158">
        <x:v>76</x:v>
      </x:c>
      <x:c r="F107" s="23" t="s">
        <x:v>14</x:v>
      </x:c>
      <x:c r="G107" s="23" t="s">
        <x:v>722</x:v>
      </x:c>
      <x:c r="H107" s="142">
        <x:v>46689</x:v>
      </x:c>
      <x:c r="I107" s="124">
        <x:v>15.66</x:v>
      </x:c>
      <x:c r="J107" s="125"/>
      <x:c r="K107" s="25"/>
      <x:c r="L107" s="127"/>
      <x:c r="M107" s="127"/>
    </x:row>
    <x:row r="108" spans="1:13" ht="22.050000000000001">
      <x:c r="A108" s="20" t="s">
        <x:v>658</x:v>
      </x:c>
      <x:c r="B108" s="20" t="s">
        <x:v>1014</x:v>
      </x:c>
      <x:c r="C108" s="123" t="s">
        <x:v>627</x:v>
      </x:c>
      <x:c r="D108" s="123" t="s">
        <x:v>596</x:v>
      </x:c>
      <x:c r="E108" s="157">
        <x:v>132</x:v>
      </x:c>
      <x:c r="F108" s="20" t="s">
        <x:v>14</x:v>
      </x:c>
      <x:c r="G108" s="20" t="s">
        <x:v>722</x:v>
      </x:c>
      <x:c r="H108" s="141">
        <x:v>46758</x:v>
      </x:c>
      <x:c r="I108" s="123">
        <x:v>16.289999999999999</x:v>
      </x:c>
      <x:c r="J108" s="127"/>
      <x:c r="K108" s="22"/>
      <x:c r="L108" s="127"/>
      <x:c r="M108" s="127"/>
    </x:row>
    <x:row r="109" spans="1:13" ht="22.050000000000001">
      <x:c r="A109" s="23" t="s">
        <x:v>658</x:v>
      </x:c>
      <x:c r="B109" s="23" t="s">
        <x:v>573</x:v>
      </x:c>
      <x:c r="C109" s="124" t="s">
        <x:v>668</x:v>
      </x:c>
      <x:c r="D109" s="124">
        <x:v>38</x:v>
      </x:c>
      <x:c r="E109" s="158">
        <x:v>7</x:v>
      </x:c>
      <x:c r="F109" s="23" t="s">
        <x:v>837</x:v>
      </x:c>
      <x:c r="G109" s="23" t="s">
        <x:v>722</x:v>
      </x:c>
      <x:c r="H109" s="142">
        <x:v>46408</x:v>
      </x:c>
      <x:c r="I109" s="124">
        <x:v>24.23</x:v>
      </x:c>
      <x:c r="J109" s="169"/>
      <x:c r="K109" s="25"/>
      <x:c r="L109" s="169"/>
      <x:c r="M109" s="169"/>
    </x:row>
    <x:row r="110" spans="1:13" ht="22.050000000000001">
      <x:c r="A110" s="20" t="s">
        <x:v>658</x:v>
      </x:c>
      <x:c r="B110" s="20" t="s">
        <x:v>573</x:v>
      </x:c>
      <x:c r="C110" s="123" t="s">
        <x:v>627</x:v>
      </x:c>
      <x:c r="D110" s="123" t="s">
        <x:v>540</x:v>
      </x:c>
      <x:c r="E110" s="157">
        <x:v>1</x:v>
      </x:c>
      <x:c r="F110" s="20" t="s">
        <x:v>160</x:v>
      </x:c>
      <x:c r="G110" s="20" t="s">
        <x:v>639</x:v>
      </x:c>
      <x:c r="H110" s="141">
        <x:v>46746</x:v>
      </x:c>
      <x:c r="I110" s="123">
        <x:v>17.149999999999999</x:v>
      </x:c>
      <x:c r="J110" s="127"/>
      <x:c r="K110" s="22"/>
      <x:c r="L110" s="127"/>
      <x:c r="M110" s="127"/>
    </x:row>
    <x:row r="111" spans="1:13" ht="22.050000000000001">
      <x:c r="A111" s="23" t="s">
        <x:v>658</x:v>
      </x:c>
      <x:c r="B111" s="23" t="s">
        <x:v>573</x:v>
      </x:c>
      <x:c r="C111" s="124" t="s">
        <x:v>627</x:v>
      </x:c>
      <x:c r="D111" s="124" t="s">
        <x:v>540</x:v>
      </x:c>
      <x:c r="E111" s="158">
        <x:v>15</x:v>
      </x:c>
      <x:c r="F111" s="23" t="s">
        <x:v>160</x:v>
      </x:c>
      <x:c r="G111" s="23" t="s">
        <x:v>309</x:v>
      </x:c>
      <x:c r="H111" s="142">
        <x:v>46746</x:v>
      </x:c>
      <x:c r="I111" s="124">
        <x:v>18.399999999999999</x:v>
      </x:c>
      <x:c r="J111" s="125"/>
      <x:c r="K111" s="25"/>
      <x:c r="L111" s="127"/>
      <x:c r="M111" s="127"/>
    </x:row>
    <x:row r="112" spans="1:13" ht="22.050000000000001">
      <x:c r="A112" s="20" t="s">
        <x:v>658</x:v>
      </x:c>
      <x:c r="B112" s="20" t="s">
        <x:v>573</x:v>
      </x:c>
      <x:c r="C112" s="123" t="s">
        <x:v>736</x:v>
      </x:c>
      <x:c r="D112" s="123">
        <x:v>969</x:v>
      </x:c>
      <x:c r="E112" s="157">
        <x:v>0</x:v>
      </x:c>
      <x:c r="F112" s="20" t="s">
        <x:v>160</x:v>
      </x:c>
      <x:c r="G112" s="20" t="s">
        <x:v>309</x:v>
      </x:c>
      <x:c r="H112" s="141">
        <x:v>46739</x:v>
      </x:c>
      <x:c r="I112" s="123">
        <x:v>20.350000000000001</x:v>
      </x:c>
      <x:c r="J112" s="127"/>
      <x:c r="K112" s="22"/>
      <x:c r="L112" s="127"/>
      <x:c r="M112" s="127"/>
    </x:row>
    <x:row r="113" spans="1:13" ht="22.050000000000001">
      <x:c r="A113" s="25" t="s">
        <x:v>658</x:v>
      </x:c>
      <x:c r="B113" s="25" t="s">
        <x:v>573</x:v>
      </x:c>
      <x:c r="C113" s="125" t="s">
        <x:v>736</x:v>
      </x:c>
      <x:c r="D113" s="125" t="s">
        <x:v>540</x:v>
      </x:c>
      <x:c r="E113" s="159">
        <x:v>45</x:v>
      </x:c>
      <x:c r="F113" s="25" t="s">
        <x:v>857</x:v>
      </x:c>
      <x:c r="G113" s="25" t="s">
        <x:v>617</x:v>
      </x:c>
      <x:c r="H113" s="143">
        <x:v>46750</x:v>
      </x:c>
      <x:c r="I113" s="125">
        <x:v>19.25</x:v>
      </x:c>
      <x:c r="J113" s="125"/>
      <x:c r="K113" s="25" t="s">
        <x:v>708</x:v>
      </x:c>
      <x:c r="L113" s="127"/>
      <x:c r="M113" s="127"/>
    </x:row>
    <x:row r="114" spans="1:13" ht="22.050000000000001">
      <x:c r="A114" s="20" t="s">
        <x:v>658</x:v>
      </x:c>
      <x:c r="B114" s="20" t="s">
        <x:v>573</x:v>
      </x:c>
      <x:c r="C114" s="123" t="s">
        <x:v>636</x:v>
      </x:c>
      <x:c r="D114" s="123" t="s">
        <x:v>685</x:v>
      </x:c>
      <x:c r="E114" s="157">
        <x:v>3</x:v>
      </x:c>
      <x:c r="F114" s="20" t="s">
        <x:v>256</x:v>
      </x:c>
      <x:c r="G114" s="20" t="s">
        <x:v>628</x:v>
      </x:c>
      <x:c r="H114" s="141">
        <x:v>46595</x:v>
      </x:c>
      <x:c r="I114" s="123">
        <x:v>19.120000000000001</x:v>
      </x:c>
      <x:c r="J114" s="127"/>
      <x:c r="K114" s="22"/>
      <x:c r="L114" s="127"/>
      <x:c r="M114" s="127"/>
    </x:row>
    <x:row r="115" spans="1:13" ht="22.050000000000001">
      <x:c r="A115" s="23" t="s">
        <x:v>658</x:v>
      </x:c>
      <x:c r="B115" s="23" t="s">
        <x:v>573</x:v>
      </x:c>
      <x:c r="C115" s="124" t="s">
        <x:v>636</x:v>
      </x:c>
      <x:c r="D115" s="124" t="s">
        <x:v>685</x:v>
      </x:c>
      <x:c r="E115" s="158">
        <x:v>6</x:v>
      </x:c>
      <x:c r="F115" s="23" t="s">
        <x:v>256</x:v>
      </x:c>
      <x:c r="G115" s="23" t="s">
        <x:v>722</x:v>
      </x:c>
      <x:c r="H115" s="142">
        <x:v>46595</x:v>
      </x:c>
      <x:c r="I115" s="124">
        <x:v>19.120000000000001</x:v>
      </x:c>
      <x:c r="J115" s="125"/>
      <x:c r="K115" s="25"/>
      <x:c r="L115" s="127"/>
      <x:c r="M115" s="127"/>
    </x:row>
    <x:row r="116" spans="1:13" ht="22.050000000000001">
      <x:c r="A116" s="20" t="s">
        <x:v>658</x:v>
      </x:c>
      <x:c r="B116" s="20" t="s">
        <x:v>573</x:v>
      </x:c>
      <x:c r="C116" s="123" t="s">
        <x:v>636</x:v>
      </x:c>
      <x:c r="D116" s="123">
        <x:v>969</x:v>
      </x:c>
      <x:c r="E116" s="157">
        <x:v>7</x:v>
      </x:c>
      <x:c r="F116" s="20" t="s">
        <x:v>160</x:v>
      </x:c>
      <x:c r="G116" s="20" t="s">
        <x:v>309</x:v>
      </x:c>
      <x:c r="H116" s="141">
        <x:v>46739</x:v>
      </x:c>
      <x:c r="I116" s="123">
        <x:v>19.48</x:v>
      </x:c>
      <x:c r="J116" s="127"/>
      <x:c r="K116" s="22"/>
      <x:c r="L116" s="127"/>
      <x:c r="M116" s="127"/>
    </x:row>
    <x:row r="117" spans="1:13" ht="22.050000000000001">
      <x:c r="A117" s="23" t="s">
        <x:v>658</x:v>
      </x:c>
      <x:c r="B117" s="23" t="s">
        <x:v>573</x:v>
      </x:c>
      <x:c r="C117" s="124" t="s">
        <x:v>636</x:v>
      </x:c>
      <x:c r="D117" s="124" t="s">
        <x:v>540</x:v>
      </x:c>
      <x:c r="E117" s="158">
        <x:v>14</x:v>
      </x:c>
      <x:c r="F117" s="23" t="s">
        <x:v>160</x:v>
      </x:c>
      <x:c r="G117" s="23" t="s">
        <x:v>309</x:v>
      </x:c>
      <x:c r="H117" s="142">
        <x:v>46746</x:v>
      </x:c>
      <x:c r="I117" s="124">
        <x:v>19.079999999999998</x:v>
      </x:c>
      <x:c r="J117" s="125"/>
      <x:c r="K117" s="25"/>
      <x:c r="L117" s="127"/>
      <x:c r="M117" s="127"/>
    </x:row>
    <x:row r="118" spans="1:13" ht="22.050000000000001">
      <x:c r="A118" s="20" t="s">
        <x:v>658</x:v>
      </x:c>
      <x:c r="B118" s="20" t="s">
        <x:v>573</x:v>
      </x:c>
      <x:c r="C118" s="123" t="s">
        <x:v>636</x:v>
      </x:c>
      <x:c r="D118" s="123" t="s">
        <x:v>540</x:v>
      </x:c>
      <x:c r="E118" s="157">
        <x:v>57</x:v>
      </x:c>
      <x:c r="F118" s="20" t="s">
        <x:v>857</x:v>
      </x:c>
      <x:c r="G118" s="20" t="s">
        <x:v>617</x:v>
      </x:c>
      <x:c r="H118" s="141">
        <x:v>46750</x:v>
      </x:c>
      <x:c r="I118" s="123">
        <x:v>19.25</x:v>
      </x:c>
      <x:c r="J118" s="127"/>
      <x:c r="K118" s="22"/>
      <x:c r="L118" s="127"/>
      <x:c r="M118" s="127"/>
    </x:row>
    <x:row r="119" spans="1:13" ht="22.050000000000001">
      <x:c r="A119" s="23" t="s">
        <x:v>300</x:v>
      </x:c>
      <x:c r="B119" s="23" t="s">
        <x:v>634</x:v>
      </x:c>
      <x:c r="C119" s="124" t="s">
        <x:v>699</x:v>
      </x:c>
      <x:c r="D119" s="124"/>
      <x:c r="E119" s="158">
        <x:v>28</x:v>
      </x:c>
      <x:c r="F119" s="23">
        <x:v>20260414</x:v>
      </x:c>
      <x:c r="G119" s="23" t="s">
        <x:v>617</x:v>
      </x:c>
      <x:c r="H119" s="142">
        <x:v>46478</x:v>
      </x:c>
      <x:c r="I119" s="124">
        <x:v>20</x:v>
      </x:c>
      <x:c r="J119" s="125"/>
      <x:c r="K119" s="25"/>
      <x:c r="L119" s="127"/>
      <x:c r="M119" s="127"/>
    </x:row>
    <x:row r="120" spans="1:13" ht="22.050000000000001">
      <x:c r="A120" s="20" t="s">
        <x:v>675</x:v>
      </x:c>
      <x:c r="B120" s="20" t="s">
        <x:v>588</x:v>
      </x:c>
      <x:c r="C120" s="123"/>
      <x:c r="D120" s="123"/>
      <x:c r="E120" s="157">
        <x:v>20</x:v>
      </x:c>
      <x:c r="F120" s="20" t="s">
        <x:v>887</x:v>
      </x:c>
      <x:c r="G120" s="20" t="s">
        <x:v>748</x:v>
      </x:c>
      <x:c r="H120" s="141">
        <x:v>46694</x:v>
      </x:c>
      <x:c r="I120" s="123">
        <x:v>15</x:v>
      </x:c>
      <x:c r="J120" s="127"/>
      <x:c r="K120" s="22"/>
      <x:c r="L120" s="127"/>
      <x:c r="M120" s="127"/>
    </x:row>
    <x:row r="121" spans="1:13" ht="22.050000000000001">
      <x:c r="A121" s="25" t="s">
        <x:v>719</x:v>
      </x:c>
      <x:c r="B121" s="25" t="s">
        <x:v>587</x:v>
      </x:c>
      <x:c r="C121" s="125"/>
      <x:c r="D121" s="125" t="s">
        <x:v>351</x:v>
      </x:c>
      <x:c r="E121" s="159">
        <x:v>20</x:v>
      </x:c>
      <x:c r="F121" s="25" t="s">
        <x:v>274</x:v>
      </x:c>
      <x:c r="G121" s="25" t="s">
        <x:v>617</x:v>
      </x:c>
      <x:c r="H121" s="143">
        <x:v>46766</x:v>
      </x:c>
      <x:c r="I121" s="125">
        <x:v>15</x:v>
      </x:c>
      <x:c r="J121" s="125"/>
      <x:c r="K121" s="25" t="s">
        <x:v>751</x:v>
      </x:c>
      <x:c r="L121" s="125"/>
      <x:c r="M121" s="125"/>
    </x:row>
    <x:row r="122" spans="1:13" ht="22.050000000000001">
      <x:c r="A122" s="20" t="s">
        <x:v>719</x:v>
      </x:c>
      <x:c r="B122" s="20" t="s">
        <x:v>587</x:v>
      </x:c>
      <x:c r="C122" s="123"/>
      <x:c r="D122" s="123" t="s">
        <x:v>351</x:v>
      </x:c>
      <x:c r="E122" s="157">
        <x:v>34</x:v>
      </x:c>
      <x:c r="F122" s="20" t="s">
        <x:v>260</x:v>
      </x:c>
      <x:c r="G122" s="20" t="s">
        <x:v>617</x:v>
      </x:c>
      <x:c r="H122" s="141">
        <x:v>46771</x:v>
      </x:c>
      <x:c r="I122" s="123">
        <x:v>15</x:v>
      </x:c>
      <x:c r="J122" s="127"/>
      <x:c r="K122" s="22"/>
      <x:c r="L122" s="127"/>
      <x:c r="M122" s="127"/>
    </x:row>
    <x:row r="123" spans="1:13" ht="22.050000000000001">
      <x:c r="A123" s="23" t="s">
        <x:v>719</x:v>
      </x:c>
      <x:c r="B123" s="23" t="s">
        <x:v>339</x:v>
      </x:c>
      <x:c r="C123" s="124"/>
      <x:c r="D123" s="124" t="s">
        <x:v>382</x:v>
      </x:c>
      <x:c r="E123" s="158">
        <x:v>71</x:v>
      </x:c>
      <x:c r="F123" s="23" t="s">
        <x:v>852</x:v>
      </x:c>
      <x:c r="G123" s="23" t="s">
        <x:v>617</x:v>
      </x:c>
      <x:c r="H123" s="142">
        <x:v>46537</x:v>
      </x:c>
      <x:c r="I123" s="124">
        <x:v>15</x:v>
      </x:c>
      <x:c r="J123" s="125"/>
      <x:c r="K123" s="25"/>
      <x:c r="L123" s="127"/>
      <x:c r="M123" s="127"/>
    </x:row>
    <x:row r="124" spans="1:13" ht="22.050000000000001">
      <x:c r="A124" s="22" t="s">
        <x:v>719</x:v>
      </x:c>
      <x:c r="B124" s="22" t="s">
        <x:v>339</x:v>
      </x:c>
      <x:c r="C124" s="127"/>
      <x:c r="D124" s="127" t="s">
        <x:v>589</x:v>
      </x:c>
      <x:c r="E124" s="160">
        <x:v>72</x:v>
      </x:c>
      <x:c r="F124" s="22" t="s">
        <x:v>55</x:v>
      </x:c>
      <x:c r="G124" s="22" t="s">
        <x:v>628</x:v>
      </x:c>
      <x:c r="H124" s="144">
        <x:v>46762</x:v>
      </x:c>
      <x:c r="I124" s="127">
        <x:v>15</x:v>
      </x:c>
      <x:c r="J124" s="127">
        <x:v>46136</x:v>
      </x:c>
      <x:c r="K124" s="22" t="s">
        <x:v>323</x:v>
      </x:c>
      <x:c r="L124" s="125"/>
      <x:c r="M124" s="125"/>
    </x:row>
    <x:row r="125" spans="1:13" ht="22.050000000000001">
      <x:c r="A125" s="25" t="s">
        <x:v>719</x:v>
      </x:c>
      <x:c r="B125" s="25" t="s">
        <x:v>339</x:v>
      </x:c>
      <x:c r="C125" s="125"/>
      <x:c r="D125" s="125" t="s">
        <x:v>589</x:v>
      </x:c>
      <x:c r="E125" s="159">
        <x:v>0</x:v>
      </x:c>
      <x:c r="F125" s="25" t="s">
        <x:v>876</x:v>
      </x:c>
      <x:c r="G125" s="25" t="s">
        <x:v>309</x:v>
      </x:c>
      <x:c r="H125" s="143">
        <x:v>46774</x:v>
      </x:c>
      <x:c r="I125" s="125">
        <x:v>15</x:v>
      </x:c>
      <x:c r="J125" s="125">
        <x:v>46135</x:v>
      </x:c>
      <x:c r="K125" s="25" t="s">
        <x:v>315</x:v>
      </x:c>
      <x:c r="L125" s="125"/>
      <x:c r="M125" s="125"/>
    </x:row>
    <x:row r="126" spans="1:13" ht="22.050000000000001">
      <x:c r="A126" s="30" t="s">
        <x:v>719</x:v>
      </x:c>
      <x:c r="B126" s="30" t="s">
        <x:v>339</x:v>
      </x:c>
      <x:c r="C126" s="123"/>
      <x:c r="D126" s="123" t="s">
        <x:v>589</x:v>
      </x:c>
      <x:c r="E126" s="157">
        <x:v>78</x:v>
      </x:c>
      <x:c r="F126" s="30" t="s">
        <x:v>876</x:v>
      </x:c>
      <x:c r="G126" s="30" t="s">
        <x:v>309</x:v>
      </x:c>
      <x:c r="H126" s="141">
        <x:v>46774</x:v>
      </x:c>
      <x:c r="I126" s="123">
        <x:v>15</x:v>
      </x:c>
      <x:c r="J126" s="127"/>
      <x:c r="K126" s="37"/>
      <x:c r="L126" s="125"/>
      <x:c r="M126" s="125"/>
    </x:row>
    <x:row r="127" spans="1:13" ht="22.050000000000001">
      <x:c r="A127" s="23" t="s">
        <x:v>350</x:v>
      </x:c>
      <x:c r="B127" s="23" t="s">
        <x:v>587</x:v>
      </x:c>
      <x:c r="C127" s="124"/>
      <x:c r="D127" s="124" t="s">
        <x:v>365</x:v>
      </x:c>
      <x:c r="E127" s="158">
        <x:v>32</x:v>
      </x:c>
      <x:c r="F127" s="23" t="s">
        <x:v>270</x:v>
      </x:c>
      <x:c r="G127" s="23" t="s">
        <x:v>564</x:v>
      </x:c>
      <x:c r="H127" s="142">
        <x:v>46673</x:v>
      </x:c>
      <x:c r="I127" s="124">
        <x:v>12</x:v>
      </x:c>
      <x:c r="J127" s="125"/>
      <x:c r="K127" s="25"/>
      <x:c r="L127" s="127"/>
      <x:c r="M127" s="127"/>
    </x:row>
    <x:row r="128" spans="1:13" ht="22.050000000000001">
      <x:c r="A128" s="20" t="s">
        <x:v>350</x:v>
      </x:c>
      <x:c r="B128" s="20" t="s">
        <x:v>1048</x:v>
      </x:c>
      <x:c r="C128" s="123"/>
      <x:c r="D128" s="123" t="s">
        <x:v>308</x:v>
      </x:c>
      <x:c r="E128" s="157">
        <x:v>48</x:v>
      </x:c>
      <x:c r="F128" s="20" t="s">
        <x:v>831</x:v>
      </x:c>
      <x:c r="G128" s="20" t="s">
        <x:v>345</x:v>
      </x:c>
      <x:c r="H128" s="141">
        <x:v>46591</x:v>
      </x:c>
      <x:c r="I128" s="123">
        <x:v>12</x:v>
      </x:c>
      <x:c r="J128" s="127"/>
      <x:c r="K128" s="22"/>
      <x:c r="L128" s="127"/>
      <x:c r="M128" s="127"/>
    </x:row>
    <x:row r="129" spans="1:13" ht="22.050000000000001">
      <x:c r="A129" s="25" t="s">
        <x:v>350</x:v>
      </x:c>
      <x:c r="B129" s="25" t="s">
        <x:v>1048</x:v>
      </x:c>
      <x:c r="C129" s="125"/>
      <x:c r="D129" s="125" t="s">
        <x:v>295</x:v>
      </x:c>
      <x:c r="E129" s="159">
        <x:v>9</x:v>
      </x:c>
      <x:c r="F129" s="25" t="s">
        <x:v>916</x:v>
      </x:c>
      <x:c r="G129" s="25" t="s">
        <x:v>617</x:v>
      </x:c>
      <x:c r="H129" s="143">
        <x:v>46639</x:v>
      </x:c>
      <x:c r="I129" s="125">
        <x:v>12</x:v>
      </x:c>
      <x:c r="J129" s="125"/>
      <x:c r="K129" s="25" t="s">
        <x:v>725</x:v>
      </x:c>
      <x:c r="L129" s="127"/>
      <x:c r="M129" s="127"/>
    </x:row>
    <x:row r="130" spans="1:13" ht="22.050000000000001">
      <x:c r="A130" s="22" t="s">
        <x:v>350</x:v>
      </x:c>
      <x:c r="B130" s="22" t="s">
        <x:v>1048</x:v>
      </x:c>
      <x:c r="C130" s="127"/>
      <x:c r="D130" s="127" t="s">
        <x:v>295</x:v>
      </x:c>
      <x:c r="E130" s="160">
        <x:v>50</x:v>
      </x:c>
      <x:c r="F130" s="22" t="s">
        <x:v>916</x:v>
      </x:c>
      <x:c r="G130" s="22" t="s">
        <x:v>617</x:v>
      </x:c>
      <x:c r="H130" s="144">
        <x:v>46639</x:v>
      </x:c>
      <x:c r="I130" s="127">
        <x:v>12</x:v>
      </x:c>
      <x:c r="J130" s="127"/>
      <x:c r="K130" s="22" t="s">
        <x:v>1031</x:v>
      </x:c>
      <x:c r="L130" s="127"/>
      <x:c r="M130" s="127"/>
    </x:row>
    <x:row r="131" spans="1:13" ht="22.050000000000001">
      <x:c r="A131" s="23" t="s">
        <x:v>350</x:v>
      </x:c>
      <x:c r="B131" s="23" t="s">
        <x:v>1048</x:v>
      </x:c>
      <x:c r="C131" s="124"/>
      <x:c r="D131" s="124" t="s">
        <x:v>295</x:v>
      </x:c>
      <x:c r="E131" s="158">
        <x:v>70</x:v>
      </x:c>
      <x:c r="F131" s="23" t="s">
        <x:v>916</x:v>
      </x:c>
      <x:c r="G131" s="23" t="s">
        <x:v>617</x:v>
      </x:c>
      <x:c r="H131" s="142">
        <x:v>46639</x:v>
      </x:c>
      <x:c r="I131" s="124">
        <x:v>12</x:v>
      </x:c>
      <x:c r="J131" s="125"/>
      <x:c r="K131" s="25"/>
      <x:c r="L131" s="127"/>
      <x:c r="M131" s="127"/>
    </x:row>
    <x:row r="132" spans="1:13" ht="22.050000000000001">
      <x:c r="A132" s="20" t="s">
        <x:v>350</x:v>
      </x:c>
      <x:c r="B132" s="20" t="s">
        <x:v>1048</x:v>
      </x:c>
      <x:c r="C132" s="123"/>
      <x:c r="D132" s="123" t="s">
        <x:v>295</x:v>
      </x:c>
      <x:c r="E132" s="157">
        <x:v>200</x:v>
      </x:c>
      <x:c r="F132" s="20" t="s">
        <x:v>916</x:v>
      </x:c>
      <x:c r="G132" s="20" t="s">
        <x:v>620</x:v>
      </x:c>
      <x:c r="H132" s="141">
        <x:v>46639</x:v>
      </x:c>
      <x:c r="I132" s="123">
        <x:v>12</x:v>
      </x:c>
      <x:c r="J132" s="127"/>
      <x:c r="K132" s="22"/>
      <x:c r="L132" s="127"/>
      <x:c r="M132" s="127"/>
    </x:row>
    <x:row r="133" spans="1:13" ht="22.050000000000001">
      <x:c r="A133" s="23" t="s">
        <x:v>350</x:v>
      </x:c>
      <x:c r="B133" s="23" t="s">
        <x:v>1048</x:v>
      </x:c>
      <x:c r="C133" s="124"/>
      <x:c r="D133" s="124" t="s">
        <x:v>312</x:v>
      </x:c>
      <x:c r="E133" s="158">
        <x:v>20</x:v>
      </x:c>
      <x:c r="F133" s="23" t="s">
        <x:v>886</x:v>
      </x:c>
      <x:c r="G133" s="23" t="s">
        <x:v>694</x:v>
      </x:c>
      <x:c r="H133" s="142">
        <x:v>46640</x:v>
      </x:c>
      <x:c r="I133" s="124">
        <x:v>12</x:v>
      </x:c>
      <x:c r="J133" s="125"/>
      <x:c r="K133" s="25"/>
      <x:c r="L133" s="127"/>
      <x:c r="M133" s="127"/>
    </x:row>
    <x:row r="134" spans="1:13" ht="22.050000000000001">
      <x:c r="A134" s="20" t="s">
        <x:v>350</x:v>
      </x:c>
      <x:c r="B134" s="20" t="s">
        <x:v>1048</x:v>
      </x:c>
      <x:c r="C134" s="123"/>
      <x:c r="D134" s="123" t="s">
        <x:v>312</x:v>
      </x:c>
      <x:c r="E134" s="157">
        <x:v>150</x:v>
      </x:c>
      <x:c r="F134" s="20" t="s">
        <x:v>886</x:v>
      </x:c>
      <x:c r="G134" s="20" t="s">
        <x:v>694</x:v>
      </x:c>
      <x:c r="H134" s="141">
        <x:v>46640</x:v>
      </x:c>
      <x:c r="I134" s="123">
        <x:v>12</x:v>
      </x:c>
      <x:c r="J134" s="127"/>
      <x:c r="K134" s="22"/>
      <x:c r="L134" s="125"/>
      <x:c r="M134" s="125"/>
    </x:row>
    <x:row r="135" spans="1:13" ht="22.050000000000001">
      <x:c r="A135" s="23" t="s">
        <x:v>350</x:v>
      </x:c>
      <x:c r="B135" s="23" t="s">
        <x:v>1048</x:v>
      </x:c>
      <x:c r="C135" s="124"/>
      <x:c r="D135" s="124" t="s">
        <x:v>308</x:v>
      </x:c>
      <x:c r="E135" s="158">
        <x:v>705</x:v>
      </x:c>
      <x:c r="F135" s="23" t="s">
        <x:v>827</x:v>
      </x:c>
      <x:c r="G135" s="23" t="s">
        <x:v>628</x:v>
      </x:c>
      <x:c r="H135" s="142">
        <x:v>46680</x:v>
      </x:c>
      <x:c r="I135" s="124">
        <x:v>12</x:v>
      </x:c>
      <x:c r="J135" s="125"/>
      <x:c r="K135" s="25"/>
      <x:c r="L135" s="127"/>
      <x:c r="M135" s="127"/>
    </x:row>
    <x:row r="136" spans="1:13" ht="22.050000000000001">
      <x:c r="A136" s="20" t="s">
        <x:v>350</x:v>
      </x:c>
      <x:c r="B136" s="20" t="s">
        <x:v>1048</x:v>
      </x:c>
      <x:c r="C136" s="123"/>
      <x:c r="D136" s="123" t="s">
        <x:v>316</x:v>
      </x:c>
      <x:c r="E136" s="157">
        <x:v>30</x:v>
      </x:c>
      <x:c r="F136" s="20" t="s">
        <x:v>861</x:v>
      </x:c>
      <x:c r="G136" s="20" t="s">
        <x:v>748</x:v>
      </x:c>
      <x:c r="H136" s="141">
        <x:v>46683</x:v>
      </x:c>
      <x:c r="I136" s="123">
        <x:v>12</x:v>
      </x:c>
      <x:c r="J136" s="127"/>
      <x:c r="K136" s="22"/>
      <x:c r="L136" s="127"/>
      <x:c r="M136" s="127"/>
    </x:row>
    <x:row r="137" spans="1:13" ht="22.050000000000001">
      <x:c r="A137" s="23" t="s">
        <x:v>350</x:v>
      </x:c>
      <x:c r="B137" s="23" t="s">
        <x:v>1048</x:v>
      </x:c>
      <x:c r="C137" s="124"/>
      <x:c r="D137" s="124" t="s">
        <x:v>308</x:v>
      </x:c>
      <x:c r="E137" s="158">
        <x:v>50</x:v>
      </x:c>
      <x:c r="F137" s="23" t="s">
        <x:v>888</x:v>
      </x:c>
      <x:c r="G137" s="23" t="s">
        <x:v>748</x:v>
      </x:c>
      <x:c r="H137" s="142">
        <x:v>46687</x:v>
      </x:c>
      <x:c r="I137" s="124">
        <x:v>12</x:v>
      </x:c>
      <x:c r="J137" s="125"/>
      <x:c r="K137" s="25"/>
      <x:c r="L137" s="127"/>
      <x:c r="M137" s="127"/>
    </x:row>
    <x:row r="138" spans="1:13" ht="22.050000000000001">
      <x:c r="A138" s="20" t="s">
        <x:v>350</x:v>
      </x:c>
      <x:c r="B138" s="20" t="s">
        <x:v>1048</x:v>
      </x:c>
      <x:c r="C138" s="123"/>
      <x:c r="D138" s="123" t="s">
        <x:v>316</x:v>
      </x:c>
      <x:c r="E138" s="157">
        <x:v>30</x:v>
      </x:c>
      <x:c r="F138" s="20" t="s">
        <x:v>1021</x:v>
      </x:c>
      <x:c r="G138" s="20" t="s">
        <x:v>345</x:v>
      </x:c>
      <x:c r="H138" s="141">
        <x:v>46689</x:v>
      </x:c>
      <x:c r="I138" s="123">
        <x:v>12</x:v>
      </x:c>
      <x:c r="J138" s="127"/>
      <x:c r="K138" s="22"/>
      <x:c r="L138" s="127"/>
      <x:c r="M138" s="127"/>
    </x:row>
    <x:row r="139" spans="1:13" ht="22.050000000000001">
      <x:c r="A139" s="23" t="s">
        <x:v>350</x:v>
      </x:c>
      <x:c r="B139" s="23" t="s">
        <x:v>1048</x:v>
      </x:c>
      <x:c r="C139" s="124"/>
      <x:c r="D139" s="124" t="s">
        <x:v>295</x:v>
      </x:c>
      <x:c r="E139" s="158">
        <x:v>40</x:v>
      </x:c>
      <x:c r="F139" s="23" t="s">
        <x:v>791</x:v>
      </x:c>
      <x:c r="G139" s="23" t="s">
        <x:v>639</x:v>
      </x:c>
      <x:c r="H139" s="142">
        <x:v>46704</x:v>
      </x:c>
      <x:c r="I139" s="124">
        <x:v>12</x:v>
      </x:c>
      <x:c r="J139" s="125"/>
      <x:c r="K139" s="25"/>
      <x:c r="L139" s="127"/>
      <x:c r="M139" s="127"/>
    </x:row>
    <x:row r="140" spans="1:13" ht="22.050000000000001">
      <x:c r="A140" s="20" t="s">
        <x:v>350</x:v>
      </x:c>
      <x:c r="B140" s="20" t="s">
        <x:v>1048</x:v>
      </x:c>
      <x:c r="C140" s="123"/>
      <x:c r="D140" s="123" t="s">
        <x:v>316</x:v>
      </x:c>
      <x:c r="E140" s="157">
        <x:v>165</x:v>
      </x:c>
      <x:c r="F140" s="30" t="s">
        <x:v>877</x:v>
      </x:c>
      <x:c r="G140" s="30" t="s">
        <x:v>639</x:v>
      </x:c>
      <x:c r="H140" s="141">
        <x:v>46716</x:v>
      </x:c>
      <x:c r="I140" s="123">
        <x:v>12</x:v>
      </x:c>
      <x:c r="J140" s="127"/>
      <x:c r="K140" s="22"/>
      <x:c r="L140" s="127"/>
      <x:c r="M140" s="127"/>
    </x:row>
    <x:row r="141" spans="1:13" ht="22.050000000000001">
      <x:c r="A141" s="23" t="s">
        <x:v>350</x:v>
      </x:c>
      <x:c r="B141" s="23" t="s">
        <x:v>1048</x:v>
      </x:c>
      <x:c r="C141" s="124"/>
      <x:c r="D141" s="124" t="s">
        <x:v>308</x:v>
      </x:c>
      <x:c r="E141" s="158">
        <x:v>70</x:v>
      </x:c>
      <x:c r="F141" s="23" t="s">
        <x:v>832</x:v>
      </x:c>
      <x:c r="G141" s="23" t="s">
        <x:v>628</x:v>
      </x:c>
      <x:c r="H141" s="142">
        <x:v>46717</x:v>
      </x:c>
      <x:c r="I141" s="124">
        <x:v>12</x:v>
      </x:c>
      <x:c r="J141" s="125"/>
      <x:c r="K141" s="25"/>
      <x:c r="L141" s="127"/>
      <x:c r="M141" s="127"/>
    </x:row>
    <x:row r="142" spans="1:13" ht="22.050000000000001">
      <x:c r="A142" s="20" t="s">
        <x:v>350</x:v>
      </x:c>
      <x:c r="B142" s="20" t="s">
        <x:v>1048</x:v>
      </x:c>
      <x:c r="C142" s="123"/>
      <x:c r="D142" s="123" t="s">
        <x:v>316</x:v>
      </x:c>
      <x:c r="E142" s="157">
        <x:v>40</x:v>
      </x:c>
      <x:c r="F142" s="20" t="s">
        <x:v>833</x:v>
      </x:c>
      <x:c r="G142" s="20" t="s">
        <x:v>621</x:v>
      </x:c>
      <x:c r="H142" s="141">
        <x:v>46721</x:v>
      </x:c>
      <x:c r="I142" s="123">
        <x:v>12</x:v>
      </x:c>
      <x:c r="J142" s="127"/>
      <x:c r="K142" s="22"/>
      <x:c r="L142" s="127"/>
      <x:c r="M142" s="127"/>
    </x:row>
    <x:row r="143" spans="1:13" ht="22.050000000000001">
      <x:c r="A143" s="23" t="s">
        <x:v>350</x:v>
      </x:c>
      <x:c r="B143" s="23" t="s">
        <x:v>1048</x:v>
      </x:c>
      <x:c r="C143" s="124"/>
      <x:c r="D143" s="124" t="s">
        <x:v>295</x:v>
      </x:c>
      <x:c r="E143" s="158">
        <x:v>492</x:v>
      </x:c>
      <x:c r="F143" s="23" t="s">
        <x:v>871</x:v>
      </x:c>
      <x:c r="G143" s="23" t="s">
        <x:v>694</x:v>
      </x:c>
      <x:c r="H143" s="142">
        <x:v>46724</x:v>
      </x:c>
      <x:c r="I143" s="124">
        <x:v>12</x:v>
      </x:c>
      <x:c r="J143" s="125"/>
      <x:c r="K143" s="25"/>
      <x:c r="L143" s="127"/>
      <x:c r="M143" s="127"/>
    </x:row>
    <x:row r="144" spans="1:13" ht="22.050000000000001">
      <x:c r="A144" s="20" t="s">
        <x:v>350</x:v>
      </x:c>
      <x:c r="B144" s="20" t="s">
        <x:v>1048</x:v>
      </x:c>
      <x:c r="C144" s="123"/>
      <x:c r="D144" s="123" t="s">
        <x:v>316</x:v>
      </x:c>
      <x:c r="E144" s="157">
        <x:v>99</x:v>
      </x:c>
      <x:c r="F144" s="30" t="s">
        <x:v>855</x:v>
      </x:c>
      <x:c r="G144" s="30" t="s">
        <x:v>639</x:v>
      </x:c>
      <x:c r="H144" s="141">
        <x:v>46738</x:v>
      </x:c>
      <x:c r="I144" s="123">
        <x:v>12</x:v>
      </x:c>
      <x:c r="J144" s="127"/>
      <x:c r="K144" s="22"/>
      <x:c r="L144" s="127"/>
      <x:c r="M144" s="127"/>
    </x:row>
    <x:row r="145" spans="1:13" ht="22.050000000000001">
      <x:c r="A145" s="23" t="s">
        <x:v>350</x:v>
      </x:c>
      <x:c r="B145" s="23" t="s">
        <x:v>306</x:v>
      </x:c>
      <x:c r="C145" s="124"/>
      <x:c r="D145" s="124" t="s">
        <x:v>301</x:v>
      </x:c>
      <x:c r="E145" s="158">
        <x:v>120</x:v>
      </x:c>
      <x:c r="F145" s="23" t="s">
        <x:v>860</x:v>
      </x:c>
      <x:c r="G145" s="23" t="s">
        <x:v>304</x:v>
      </x:c>
      <x:c r="H145" s="142">
        <x:v>46604</x:v>
      </x:c>
      <x:c r="I145" s="124">
        <x:v>12</x:v>
      </x:c>
      <x:c r="J145" s="125"/>
      <x:c r="K145" s="25"/>
      <x:c r="L145" s="127"/>
      <x:c r="M145" s="127"/>
    </x:row>
    <x:row r="146" spans="1:13" ht="22.050000000000001">
      <x:c r="A146" s="20" t="s">
        <x:v>350</x:v>
      </x:c>
      <x:c r="B146" s="20" t="s">
        <x:v>306</x:v>
      </x:c>
      <x:c r="C146" s="123"/>
      <x:c r="D146" s="123" t="s">
        <x:v>348</x:v>
      </x:c>
      <x:c r="E146" s="157">
        <x:v>60</x:v>
      </x:c>
      <x:c r="F146" s="20" t="s">
        <x:v>879</x:v>
      </x:c>
      <x:c r="G146" s="20" t="s">
        <x:v>628</x:v>
      </x:c>
      <x:c r="H146" s="141">
        <x:v>46605</x:v>
      </x:c>
      <x:c r="I146" s="123">
        <x:v>12</x:v>
      </x:c>
      <x:c r="J146" s="127"/>
      <x:c r="K146" s="22"/>
      <x:c r="L146" s="127"/>
      <x:c r="M146" s="127"/>
    </x:row>
    <x:row r="147" spans="1:13" ht="22.050000000000001">
      <x:c r="A147" s="23" t="s">
        <x:v>350</x:v>
      </x:c>
      <x:c r="B147" s="23" t="s">
        <x:v>306</x:v>
      </x:c>
      <x:c r="C147" s="124"/>
      <x:c r="D147" s="124" t="s">
        <x:v>301</x:v>
      </x:c>
      <x:c r="E147" s="158">
        <x:v>280</x:v>
      </x:c>
      <x:c r="F147" s="23" t="s">
        <x:v>863</x:v>
      </x:c>
      <x:c r="G147" s="23" t="s">
        <x:v>639</x:v>
      </x:c>
      <x:c r="H147" s="142">
        <x:v>46654</x:v>
      </x:c>
      <x:c r="I147" s="124">
        <x:v>12</x:v>
      </x:c>
      <x:c r="J147" s="125"/>
      <x:c r="K147" s="25"/>
      <x:c r="L147" s="127"/>
      <x:c r="M147" s="127"/>
    </x:row>
    <x:row r="148" spans="1:13" ht="22.050000000000001">
      <x:c r="A148" s="22" t="s">
        <x:v>350</x:v>
      </x:c>
      <x:c r="B148" s="22" t="s">
        <x:v>306</x:v>
      </x:c>
      <x:c r="C148" s="127"/>
      <x:c r="D148" s="127" t="s">
        <x:v>348</x:v>
      </x:c>
      <x:c r="E148" s="160">
        <x:v>7</x:v>
      </x:c>
      <x:c r="F148" s="22" t="s">
        <x:v>840</x:v>
      </x:c>
      <x:c r="G148" s="22" t="s">
        <x:v>617</x:v>
      </x:c>
      <x:c r="H148" s="144">
        <x:v>46679</x:v>
      </x:c>
      <x:c r="I148" s="127">
        <x:v>12</x:v>
      </x:c>
      <x:c r="J148" s="170"/>
      <x:c r="K148" s="22" t="s">
        <x:v>725</x:v>
      </x:c>
      <x:c r="L148" s="170"/>
      <x:c r="M148" s="170"/>
    </x:row>
    <x:row r="149" spans="1:13" ht="22.050000000000001">
      <x:c r="A149" s="25" t="s">
        <x:v>350</x:v>
      </x:c>
      <x:c r="B149" s="25" t="s">
        <x:v>306</x:v>
      </x:c>
      <x:c r="C149" s="125"/>
      <x:c r="D149" s="125" t="s">
        <x:v>348</x:v>
      </x:c>
      <x:c r="E149" s="159">
        <x:v>40</x:v>
      </x:c>
      <x:c r="F149" s="25" t="s">
        <x:v>840</x:v>
      </x:c>
      <x:c r="G149" s="25" t="s">
        <x:v>617</x:v>
      </x:c>
      <x:c r="H149" s="143">
        <x:v>46679</x:v>
      </x:c>
      <x:c r="I149" s="125">
        <x:v>12</x:v>
      </x:c>
      <x:c r="J149" s="188"/>
      <x:c r="K149" s="25" t="s">
        <x:v>725</x:v>
      </x:c>
      <x:c r="L149" s="170"/>
      <x:c r="M149" s="170"/>
    </x:row>
    <x:row r="150" spans="1:13" ht="22.050000000000001">
      <x:c r="A150" s="20" t="s">
        <x:v>350</x:v>
      </x:c>
      <x:c r="B150" s="20" t="s">
        <x:v>306</x:v>
      </x:c>
      <x:c r="C150" s="123"/>
      <x:c r="D150" s="123" t="s">
        <x:v>348</x:v>
      </x:c>
      <x:c r="E150" s="157">
        <x:v>59</x:v>
      </x:c>
      <x:c r="F150" s="20" t="s">
        <x:v>840</x:v>
      </x:c>
      <x:c r="G150" s="20" t="s">
        <x:v>617</x:v>
      </x:c>
      <x:c r="H150" s="141">
        <x:v>46679</x:v>
      </x:c>
      <x:c r="I150" s="123">
        <x:v>12</x:v>
      </x:c>
      <x:c r="J150" s="170"/>
      <x:c r="K150" s="22"/>
      <x:c r="L150" s="170"/>
      <x:c r="M150" s="170"/>
    </x:row>
    <x:row r="151" spans="1:13" ht="22.050000000000001">
      <x:c r="A151" s="23" t="s">
        <x:v>350</x:v>
      </x:c>
      <x:c r="B151" s="23" t="s">
        <x:v>306</x:v>
      </x:c>
      <x:c r="C151" s="124"/>
      <x:c r="D151" s="124" t="s">
        <x:v>301</x:v>
      </x:c>
      <x:c r="E151" s="158">
        <x:v>140</x:v>
      </x:c>
      <x:c r="F151" s="23" t="s">
        <x:v>835</x:v>
      </x:c>
      <x:c r="G151" s="23" t="s">
        <x:v>337</x:v>
      </x:c>
      <x:c r="H151" s="142">
        <x:v>46679</x:v>
      </x:c>
      <x:c r="I151" s="124">
        <x:v>12</x:v>
      </x:c>
      <x:c r="J151" s="125"/>
      <x:c r="K151" s="25"/>
      <x:c r="L151" s="127"/>
      <x:c r="M151" s="127"/>
    </x:row>
    <x:row r="152" spans="1:13" ht="22.050000000000001">
      <x:c r="A152" s="20" t="s">
        <x:v>350</x:v>
      </x:c>
      <x:c r="B152" s="20" t="s">
        <x:v>306</x:v>
      </x:c>
      <x:c r="C152" s="123"/>
      <x:c r="D152" s="123" t="s">
        <x:v>348</x:v>
      </x:c>
      <x:c r="E152" s="157">
        <x:v>500</x:v>
      </x:c>
      <x:c r="F152" s="20" t="s">
        <x:v>840</x:v>
      </x:c>
      <x:c r="G152" s="20" t="s">
        <x:v>666</x:v>
      </x:c>
      <x:c r="H152" s="141">
        <x:v>46679</x:v>
      </x:c>
      <x:c r="I152" s="123">
        <x:v>12</x:v>
      </x:c>
      <x:c r="J152" s="170"/>
      <x:c r="K152" s="22"/>
      <x:c r="L152" s="170"/>
      <x:c r="M152" s="170"/>
    </x:row>
    <x:row r="153" spans="1:13" ht="22.050000000000001">
      <x:c r="A153" s="23" t="s">
        <x:v>350</x:v>
      </x:c>
      <x:c r="B153" s="23" t="s">
        <x:v>306</x:v>
      </x:c>
      <x:c r="C153" s="124"/>
      <x:c r="D153" s="124" t="s">
        <x:v>301</x:v>
      </x:c>
      <x:c r="E153" s="158">
        <x:v>590</x:v>
      </x:c>
      <x:c r="F153" s="23" t="s">
        <x:v>883</x:v>
      </x:c>
      <x:c r="G153" s="23" t="s">
        <x:v>664</x:v>
      </x:c>
      <x:c r="H153" s="142">
        <x:v>46679</x:v>
      </x:c>
      <x:c r="I153" s="124">
        <x:v>12</x:v>
      </x:c>
      <x:c r="J153" s="125"/>
      <x:c r="K153" s="25"/>
      <x:c r="L153" s="127"/>
      <x:c r="M153" s="127"/>
    </x:row>
    <x:row r="154" spans="1:13" ht="22.050000000000001">
      <x:c r="A154" s="20" t="s">
        <x:v>350</x:v>
      </x:c>
      <x:c r="B154" s="20" t="s">
        <x:v>306</x:v>
      </x:c>
      <x:c r="C154" s="123"/>
      <x:c r="D154" s="123" t="s">
        <x:v>312</x:v>
      </x:c>
      <x:c r="E154" s="157">
        <x:v>475</x:v>
      </x:c>
      <x:c r="F154" s="20" t="s">
        <x:v>873</x:v>
      </x:c>
      <x:c r="G154" s="20" t="s">
        <x:v>309</x:v>
      </x:c>
      <x:c r="H154" s="141">
        <x:v>46680</x:v>
      </x:c>
      <x:c r="I154" s="123">
        <x:v>12</x:v>
      </x:c>
      <x:c r="J154" s="127"/>
      <x:c r="K154" s="22"/>
      <x:c r="L154" s="127"/>
      <x:c r="M154" s="127"/>
    </x:row>
    <x:row r="155" spans="1:13" ht="22.050000000000001">
      <x:c r="A155" s="23" t="s">
        <x:v>350</x:v>
      </x:c>
      <x:c r="B155" s="23" t="s">
        <x:v>306</x:v>
      </x:c>
      <x:c r="C155" s="124"/>
      <x:c r="D155" s="124" t="s">
        <x:v>301</x:v>
      </x:c>
      <x:c r="E155" s="158">
        <x:v>50</x:v>
      </x:c>
      <x:c r="F155" s="23" t="s">
        <x:v>864</x:v>
      </x:c>
      <x:c r="G155" s="23" t="s">
        <x:v>690</x:v>
      </x:c>
      <x:c r="H155" s="142">
        <x:v>46683</x:v>
      </x:c>
      <x:c r="I155" s="124">
        <x:v>12</x:v>
      </x:c>
      <x:c r="J155" s="125"/>
      <x:c r="K155" s="25"/>
      <x:c r="L155" s="127"/>
      <x:c r="M155" s="127"/>
    </x:row>
    <x:row r="156" spans="1:13" ht="22.050000000000001">
      <x:c r="A156" s="20" t="s">
        <x:v>350</x:v>
      </x:c>
      <x:c r="B156" s="20" t="s">
        <x:v>306</x:v>
      </x:c>
      <x:c r="C156" s="123"/>
      <x:c r="D156" s="123" t="s">
        <x:v>348</x:v>
      </x:c>
      <x:c r="E156" s="157">
        <x:v>515</x:v>
      </x:c>
      <x:c r="F156" s="20" t="s">
        <x:v>854</x:v>
      </x:c>
      <x:c r="G156" s="20" t="s">
        <x:v>309</x:v>
      </x:c>
      <x:c r="H156" s="141">
        <x:v>46690</x:v>
      </x:c>
      <x:c r="I156" s="123">
        <x:v>12</x:v>
      </x:c>
      <x:c r="J156" s="127"/>
      <x:c r="K156" s="22"/>
      <x:c r="L156" s="127"/>
      <x:c r="M156" s="127"/>
    </x:row>
    <x:row r="157" spans="1:13" ht="22.050000000000001">
      <x:c r="A157" s="23" t="s">
        <x:v>350</x:v>
      </x:c>
      <x:c r="B157" s="23" t="s">
        <x:v>306</x:v>
      </x:c>
      <x:c r="C157" s="124"/>
      <x:c r="D157" s="124" t="s">
        <x:v>348</x:v>
      </x:c>
      <x:c r="E157" s="158">
        <x:v>9</x:v>
      </x:c>
      <x:c r="F157" s="23" t="s">
        <x:v>882</x:v>
      </x:c>
      <x:c r="G157" s="23" t="s">
        <x:v>345</x:v>
      </x:c>
      <x:c r="H157" s="142">
        <x:v>46695</x:v>
      </x:c>
      <x:c r="I157" s="124">
        <x:v>12</x:v>
      </x:c>
      <x:c r="J157" s="125"/>
      <x:c r="K157" s="25" t="s">
        <x:v>759</x:v>
      </x:c>
      <x:c r="L157" s="127"/>
      <x:c r="M157" s="127"/>
    </x:row>
    <x:row r="158" spans="1:13" ht="22.050000000000001">
      <x:c r="A158" s="20" t="s">
        <x:v>350</x:v>
      </x:c>
      <x:c r="B158" s="20" t="s">
        <x:v>306</x:v>
      </x:c>
      <x:c r="C158" s="123"/>
      <x:c r="D158" s="123" t="s">
        <x:v>348</x:v>
      </x:c>
      <x:c r="E158" s="157">
        <x:v>28</x:v>
      </x:c>
      <x:c r="F158" s="20" t="s">
        <x:v>882</x:v>
      </x:c>
      <x:c r="G158" s="20" t="s">
        <x:v>345</x:v>
      </x:c>
      <x:c r="H158" s="141">
        <x:v>46695</x:v>
      </x:c>
      <x:c r="I158" s="123">
        <x:v>12</x:v>
      </x:c>
      <x:c r="J158" s="127"/>
      <x:c r="K158" s="22"/>
      <x:c r="L158" s="127"/>
      <x:c r="M158" s="127"/>
    </x:row>
    <x:row r="159" spans="1:13" ht="22.050000000000001">
      <x:c r="A159" s="23" t="s">
        <x:v>350</x:v>
      </x:c>
      <x:c r="B159" s="23" t="s">
        <x:v>306</x:v>
      </x:c>
      <x:c r="C159" s="124"/>
      <x:c r="D159" s="124" t="s">
        <x:v>348</x:v>
      </x:c>
      <x:c r="E159" s="158">
        <x:v>100</x:v>
      </x:c>
      <x:c r="F159" s="23" t="s">
        <x:v>882</x:v>
      </x:c>
      <x:c r="G159" s="23" t="s">
        <x:v>345</x:v>
      </x:c>
      <x:c r="H159" s="142">
        <x:v>46695</x:v>
      </x:c>
      <x:c r="I159" s="124">
        <x:v>12</x:v>
      </x:c>
      <x:c r="J159" s="125"/>
      <x:c r="K159" s="25"/>
      <x:c r="L159" s="127"/>
      <x:c r="M159" s="127"/>
    </x:row>
    <x:row r="160" spans="1:13" ht="22.050000000000001">
      <x:c r="A160" s="20" t="s">
        <x:v>350</x:v>
      </x:c>
      <x:c r="B160" s="20" t="s">
        <x:v>306</x:v>
      </x:c>
      <x:c r="C160" s="123"/>
      <x:c r="D160" s="123" t="s">
        <x:v>301</x:v>
      </x:c>
      <x:c r="E160" s="157">
        <x:v>155</x:v>
      </x:c>
      <x:c r="F160" s="20" t="s">
        <x:v>273</x:v>
      </x:c>
      <x:c r="G160" s="20" t="s">
        <x:v>639</x:v>
      </x:c>
      <x:c r="H160" s="141">
        <x:v>46696</x:v>
      </x:c>
      <x:c r="I160" s="123">
        <x:v>12</x:v>
      </x:c>
      <x:c r="J160" s="127"/>
      <x:c r="K160" s="22"/>
      <x:c r="L160" s="127"/>
      <x:c r="M160" s="127"/>
    </x:row>
    <x:row r="161" spans="1:13" ht="22.050000000000001">
      <x:c r="A161" s="23" t="s">
        <x:v>350</x:v>
      </x:c>
      <x:c r="B161" s="23" t="s">
        <x:v>306</x:v>
      </x:c>
      <x:c r="C161" s="124"/>
      <x:c r="D161" s="124" t="s">
        <x:v>602</x:v>
      </x:c>
      <x:c r="E161" s="158">
        <x:v>120</x:v>
      </x:c>
      <x:c r="F161" s="23" t="s">
        <x:v>867</x:v>
      </x:c>
      <x:c r="G161" s="23" t="s">
        <x:v>617</x:v>
      </x:c>
      <x:c r="H161" s="142">
        <x:v>46698</x:v>
      </x:c>
      <x:c r="I161" s="124">
        <x:v>12</x:v>
      </x:c>
      <x:c r="J161" s="125"/>
      <x:c r="K161" s="25"/>
      <x:c r="L161" s="127"/>
      <x:c r="M161" s="127"/>
    </x:row>
    <x:row r="162" spans="1:13" ht="22.050000000000001">
      <x:c r="A162" s="20" t="s">
        <x:v>350</x:v>
      </x:c>
      <x:c r="B162" s="20" t="s">
        <x:v>306</x:v>
      </x:c>
      <x:c r="C162" s="123"/>
      <x:c r="D162" s="123" t="s">
        <x:v>602</x:v>
      </x:c>
      <x:c r="E162" s="157">
        <x:v>330</x:v>
      </x:c>
      <x:c r="F162" s="20" t="s">
        <x:v>867</x:v>
      </x:c>
      <x:c r="G162" s="20" t="s">
        <x:v>690</x:v>
      </x:c>
      <x:c r="H162" s="141">
        <x:v>46698</x:v>
      </x:c>
      <x:c r="I162" s="123">
        <x:v>12</x:v>
      </x:c>
      <x:c r="J162" s="127"/>
      <x:c r="K162" s="39"/>
      <x:c r="L162" s="127"/>
      <x:c r="M162" s="127"/>
    </x:row>
    <x:row r="163" spans="1:13" ht="22.050000000000001">
      <x:c r="A163" s="23" t="s">
        <x:v>350</x:v>
      </x:c>
      <x:c r="B163" s="23" t="s">
        <x:v>306</x:v>
      </x:c>
      <x:c r="C163" s="124"/>
      <x:c r="D163" s="124" t="s">
        <x:v>602</x:v>
      </x:c>
      <x:c r="E163" s="158">
        <x:v>380</x:v>
      </x:c>
      <x:c r="F163" s="23" t="s">
        <x:v>867</x:v>
      </x:c>
      <x:c r="G163" s="23" t="s">
        <x:v>690</x:v>
      </x:c>
      <x:c r="H163" s="142">
        <x:v>46698</x:v>
      </x:c>
      <x:c r="I163" s="124">
        <x:v>12</x:v>
      </x:c>
      <x:c r="J163" s="125"/>
      <x:c r="K163" s="25"/>
      <x:c r="L163" s="127"/>
      <x:c r="M163" s="127"/>
    </x:row>
    <x:row r="164" spans="1:13" ht="22.050000000000001">
      <x:c r="A164" s="22" t="s">
        <x:v>350</x:v>
      </x:c>
      <x:c r="B164" s="22" t="s">
        <x:v>306</x:v>
      </x:c>
      <x:c r="C164" s="127"/>
      <x:c r="D164" s="127" t="s">
        <x:v>301</x:v>
      </x:c>
      <x:c r="E164" s="160">
        <x:v>500</x:v>
      </x:c>
      <x:c r="F164" s="22" t="s">
        <x:v>859</x:v>
      </x:c>
      <x:c r="G164" s="22" t="s">
        <x:v>666</x:v>
      </x:c>
      <x:c r="H164" s="144">
        <x:v>46736</x:v>
      </x:c>
      <x:c r="I164" s="127">
        <x:v>12</x:v>
      </x:c>
      <x:c r="J164" s="127">
        <x:v>46140</x:v>
      </x:c>
      <x:c r="K164" s="22" t="s">
        <x:v>720</x:v>
      </x:c>
      <x:c r="L164" s="125"/>
      <x:c r="M164" s="125"/>
    </x:row>
    <x:row r="165" spans="1:13" ht="22.050000000000001">
      <x:c r="A165" s="23" t="s">
        <x:v>350</x:v>
      </x:c>
      <x:c r="B165" s="23" t="s">
        <x:v>306</x:v>
      </x:c>
      <x:c r="C165" s="124"/>
      <x:c r="D165" s="124" t="s">
        <x:v>348</x:v>
      </x:c>
      <x:c r="E165" s="158">
        <x:v>786</x:v>
      </x:c>
      <x:c r="F165" s="23" t="s">
        <x:v>913</x:v>
      </x:c>
      <x:c r="G165" s="23" t="s">
        <x:v>309</x:v>
      </x:c>
      <x:c r="H165" s="142">
        <x:v>46739</x:v>
      </x:c>
      <x:c r="I165" s="124">
        <x:v>12</x:v>
      </x:c>
      <x:c r="J165" s="125"/>
      <x:c r="K165" s="25"/>
      <x:c r="L165" s="127"/>
      <x:c r="M165" s="127"/>
    </x:row>
    <x:row r="166" spans="1:13" ht="22.050000000000001">
      <x:c r="A166" s="20" t="s">
        <x:v>350</x:v>
      </x:c>
      <x:c r="B166" s="20" t="s">
        <x:v>339</x:v>
      </x:c>
      <x:c r="C166" s="123"/>
      <x:c r="D166" s="123" t="s">
        <x:v>291</x:v>
      </x:c>
      <x:c r="E166" s="157">
        <x:v>50</x:v>
      </x:c>
      <x:c r="F166" s="20" t="s">
        <x:v>866</x:v>
      </x:c>
      <x:c r="G166" s="20" t="s">
        <x:v>345</x:v>
      </x:c>
      <x:c r="H166" s="141">
        <x:v>46667</x:v>
      </x:c>
      <x:c r="I166" s="123">
        <x:v>12</x:v>
      </x:c>
      <x:c r="J166" s="127"/>
      <x:c r="K166" s="22"/>
      <x:c r="L166" s="127"/>
      <x:c r="M166" s="127"/>
    </x:row>
    <x:row r="167" spans="1:13" ht="22.050000000000001">
      <x:c r="A167" s="23" t="s">
        <x:v>350</x:v>
      </x:c>
      <x:c r="B167" s="23" t="s">
        <x:v>339</x:v>
      </x:c>
      <x:c r="C167" s="124"/>
      <x:c r="D167" s="124" t="s">
        <x:v>303</x:v>
      </x:c>
      <x:c r="E167" s="158">
        <x:v>42</x:v>
      </x:c>
      <x:c r="F167" s="23" t="s">
        <x:v>259</x:v>
      </x:c>
      <x:c r="G167" s="23" t="s">
        <x:v>345</x:v>
      </x:c>
      <x:c r="H167" s="142">
        <x:v>46669</x:v>
      </x:c>
      <x:c r="I167" s="124">
        <x:v>12</x:v>
      </x:c>
      <x:c r="J167" s="125"/>
      <x:c r="K167" s="25"/>
      <x:c r="L167" s="127"/>
      <x:c r="M167" s="127"/>
    </x:row>
    <x:row r="168" spans="1:13" ht="22.050000000000001">
      <x:c r="A168" s="22" t="s">
        <x:v>350</x:v>
      </x:c>
      <x:c r="B168" s="22" t="s">
        <x:v>339</x:v>
      </x:c>
      <x:c r="C168" s="127"/>
      <x:c r="D168" s="127" t="s">
        <x:v>303</x:v>
      </x:c>
      <x:c r="E168" s="160">
        <x:v>0</x:v>
      </x:c>
      <x:c r="F168" s="22" t="s">
        <x:v>25</x:v>
      </x:c>
      <x:c r="G168" s="22" t="s">
        <x:v>664</x:v>
      </x:c>
      <x:c r="H168" s="144">
        <x:v>46702</x:v>
      </x:c>
      <x:c r="I168" s="127">
        <x:v>12</x:v>
      </x:c>
      <x:c r="J168" s="127">
        <x:v>46135</x:v>
      </x:c>
      <x:c r="K168" s="22" t="s">
        <x:v>326</x:v>
      </x:c>
      <x:c r="L168" s="125"/>
      <x:c r="M168" s="125"/>
    </x:row>
    <x:row r="169" spans="1:13" ht="22.050000000000001">
      <x:c r="A169" s="23" t="s">
        <x:v>350</x:v>
      </x:c>
      <x:c r="B169" s="23" t="s">
        <x:v>339</x:v>
      </x:c>
      <x:c r="C169" s="124"/>
      <x:c r="D169" s="124" t="s">
        <x:v>303</x:v>
      </x:c>
      <x:c r="E169" s="158">
        <x:v>841</x:v>
      </x:c>
      <x:c r="F169" s="23" t="s">
        <x:v>25</x:v>
      </x:c>
      <x:c r="G169" s="23" t="s">
        <x:v>664</x:v>
      </x:c>
      <x:c r="H169" s="142">
        <x:v>46702</x:v>
      </x:c>
      <x:c r="I169" s="124">
        <x:v>12</x:v>
      </x:c>
      <x:c r="J169" s="125"/>
      <x:c r="K169" s="25"/>
      <x:c r="L169" s="127"/>
      <x:c r="M169" s="127"/>
    </x:row>
    <x:row r="170" spans="1:13" ht="22.050000000000001">
      <x:c r="A170" s="20" t="s">
        <x:v>350</x:v>
      </x:c>
      <x:c r="B170" s="20" t="s">
        <x:v>339</x:v>
      </x:c>
      <x:c r="C170" s="123"/>
      <x:c r="D170" s="123" t="s">
        <x:v>291</x:v>
      </x:c>
      <x:c r="E170" s="157">
        <x:v>19</x:v>
      </x:c>
      <x:c r="F170" s="20" t="s">
        <x:v>909</x:v>
      </x:c>
      <x:c r="G170" s="20" t="s">
        <x:v>666</x:v>
      </x:c>
      <x:c r="H170" s="141">
        <x:v>46714</x:v>
      </x:c>
      <x:c r="I170" s="123">
        <x:v>12</x:v>
      </x:c>
      <x:c r="J170" s="127"/>
      <x:c r="K170" s="22"/>
      <x:c r="L170" s="127"/>
      <x:c r="M170" s="127"/>
    </x:row>
    <x:row r="171" spans="1:13" ht="22.050000000000001">
      <x:c r="A171" s="25" t="s">
        <x:v>350</x:v>
      </x:c>
      <x:c r="B171" s="25" t="s">
        <x:v>339</x:v>
      </x:c>
      <x:c r="C171" s="125"/>
      <x:c r="D171" s="125" t="s">
        <x:v>291</x:v>
      </x:c>
      <x:c r="E171" s="159">
        <x:v>0</x:v>
      </x:c>
      <x:c r="F171" s="25" t="s">
        <x:v>909</x:v>
      </x:c>
      <x:c r="G171" s="25" t="s">
        <x:v>666</x:v>
      </x:c>
      <x:c r="H171" s="143">
        <x:v>46714</x:v>
      </x:c>
      <x:c r="I171" s="125">
        <x:v>12</x:v>
      </x:c>
      <x:c r="J171" s="125">
        <x:v>46135</x:v>
      </x:c>
      <x:c r="K171" s="25" t="s">
        <x:v>325</x:v>
      </x:c>
      <x:c r="L171" s="125"/>
      <x:c r="M171" s="125"/>
    </x:row>
    <x:row r="172" spans="1:13" ht="22.050000000000001">
      <x:c r="A172" s="20" t="s">
        <x:v>350</x:v>
      </x:c>
      <x:c r="B172" s="20" t="s">
        <x:v>339</x:v>
      </x:c>
      <x:c r="C172" s="123"/>
      <x:c r="D172" s="123" t="s">
        <x:v>291</x:v>
      </x:c>
      <x:c r="E172" s="157">
        <x:v>20</x:v>
      </x:c>
      <x:c r="F172" s="20" t="s">
        <x:v>897</x:v>
      </x:c>
      <x:c r="G172" s="30" t="s">
        <x:v>617</x:v>
      </x:c>
      <x:c r="H172" s="141">
        <x:v>46714</x:v>
      </x:c>
      <x:c r="I172" s="123">
        <x:v>12</x:v>
      </x:c>
      <x:c r="J172" s="127"/>
      <x:c r="K172" s="22"/>
      <x:c r="L172" s="127"/>
      <x:c r="M172" s="127"/>
    </x:row>
    <x:row r="173" spans="1:13" ht="22.050000000000001">
      <x:c r="A173" s="25" t="s">
        <x:v>350</x:v>
      </x:c>
      <x:c r="B173" s="25" t="s">
        <x:v>339</x:v>
      </x:c>
      <x:c r="C173" s="125"/>
      <x:c r="D173" s="125" t="s">
        <x:v>291</x:v>
      </x:c>
      <x:c r="E173" s="159">
        <x:v>300</x:v>
      </x:c>
      <x:c r="F173" s="25" t="s">
        <x:v>897</x:v>
      </x:c>
      <x:c r="G173" s="25" t="s">
        <x:v>666</x:v>
      </x:c>
      <x:c r="H173" s="143">
        <x:v>46714</x:v>
      </x:c>
      <x:c r="I173" s="125">
        <x:v>12</x:v>
      </x:c>
      <x:c r="J173" s="125" t="s">
        <x:v>726</x:v>
      </x:c>
      <x:c r="K173" s="25" t="s">
        <x:v>1028</x:v>
      </x:c>
      <x:c r="L173" s="127"/>
      <x:c r="M173" s="127"/>
    </x:row>
    <x:row r="174" spans="1:13" ht="22.050000000000001">
      <x:c r="A174" s="20" t="s">
        <x:v>350</x:v>
      </x:c>
      <x:c r="B174" s="20" t="s">
        <x:v>339</x:v>
      </x:c>
      <x:c r="C174" s="123"/>
      <x:c r="D174" s="123" t="s">
        <x:v>291</x:v>
      </x:c>
      <x:c r="E174" s="157">
        <x:v>266</x:v>
      </x:c>
      <x:c r="F174" s="20" t="s">
        <x:v>45</x:v>
      </x:c>
      <x:c r="G174" s="20" t="s">
        <x:v>617</x:v>
      </x:c>
      <x:c r="H174" s="141">
        <x:v>46749</x:v>
      </x:c>
      <x:c r="I174" s="123">
        <x:v>12</x:v>
      </x:c>
      <x:c r="J174" s="127"/>
      <x:c r="K174" s="22"/>
      <x:c r="L174" s="127"/>
      <x:c r="M174" s="127"/>
    </x:row>
    <x:row r="175" spans="1:13" ht="22.050000000000001">
      <x:c r="A175" s="25" t="s">
        <x:v>350</x:v>
      </x:c>
      <x:c r="B175" s="25" t="s">
        <x:v>339</x:v>
      </x:c>
      <x:c r="C175" s="125"/>
      <x:c r="D175" s="125" t="s">
        <x:v>291</x:v>
      </x:c>
      <x:c r="E175" s="159">
        <x:v>0</x:v>
      </x:c>
      <x:c r="F175" s="25" t="s">
        <x:v>851</x:v>
      </x:c>
      <x:c r="G175" s="25" t="s">
        <x:v>309</x:v>
      </x:c>
      <x:c r="H175" s="143">
        <x:v>46779</x:v>
      </x:c>
      <x:c r="I175" s="125">
        <x:v>12</x:v>
      </x:c>
      <x:c r="J175" s="125">
        <x:v>46135</x:v>
      </x:c>
      <x:c r="K175" s="25" t="s">
        <x:v>315</x:v>
      </x:c>
      <x:c r="L175" s="125"/>
      <x:c r="M175" s="125"/>
    </x:row>
    <x:row r="176" spans="1:13" ht="22.050000000000001">
      <x:c r="A176" s="30" t="s">
        <x:v>350</x:v>
      </x:c>
      <x:c r="B176" s="30" t="s">
        <x:v>339</x:v>
      </x:c>
      <x:c r="C176" s="123"/>
      <x:c r="D176" s="123" t="s">
        <x:v>291</x:v>
      </x:c>
      <x:c r="E176" s="157">
        <x:v>854</x:v>
      </x:c>
      <x:c r="F176" s="30" t="s">
        <x:v>851</x:v>
      </x:c>
      <x:c r="G176" s="30" t="s">
        <x:v>309</x:v>
      </x:c>
      <x:c r="H176" s="141">
        <x:v>46779</x:v>
      </x:c>
      <x:c r="I176" s="123">
        <x:v>12</x:v>
      </x:c>
      <x:c r="J176" s="127"/>
      <x:c r="K176" s="22"/>
      <x:c r="L176" s="127"/>
      <x:c r="M176" s="127"/>
    </x:row>
    <x:row r="177" spans="1:13" ht="22.050000000000001">
      <x:c r="A177" s="25" t="s">
        <x:v>350</x:v>
      </x:c>
      <x:c r="B177" s="25" t="s">
        <x:v>339</x:v>
      </x:c>
      <x:c r="C177" s="125"/>
      <x:c r="D177" s="125" t="s">
        <x:v>302</x:v>
      </x:c>
      <x:c r="E177" s="159">
        <x:v>42</x:v>
      </x:c>
      <x:c r="F177" s="25" t="s">
        <x:v>884</x:v>
      </x:c>
      <x:c r="G177" s="25" t="s">
        <x:v>617</x:v>
      </x:c>
      <x:c r="H177" s="143">
        <x:v>46686</x:v>
      </x:c>
      <x:c r="I177" s="125">
        <x:v>12</x:v>
      </x:c>
      <x:c r="J177" s="125"/>
      <x:c r="K177" s="25" t="s">
        <x:v>725</x:v>
      </x:c>
      <x:c r="L177" s="127"/>
      <x:c r="M177" s="127"/>
    </x:row>
    <x:row r="178" spans="1:13" ht="22.050000000000001">
      <x:c r="A178" s="20" t="s">
        <x:v>350</x:v>
      </x:c>
      <x:c r="B178" s="20" t="s">
        <x:v>318</x:v>
      </x:c>
      <x:c r="C178" s="123"/>
      <x:c r="D178" s="123" t="s">
        <x:v>347</x:v>
      </x:c>
      <x:c r="E178" s="157">
        <x:v>42</x:v>
      </x:c>
      <x:c r="F178" s="20" t="s">
        <x:v>1018</x:v>
      </x:c>
      <x:c r="G178" s="20" t="s">
        <x:v>666</x:v>
      </x:c>
      <x:c r="H178" s="141">
        <x:v>46631</x:v>
      </x:c>
      <x:c r="I178" s="123">
        <x:v>12</x:v>
      </x:c>
      <x:c r="J178" s="127"/>
      <x:c r="K178" s="22"/>
      <x:c r="L178" s="127"/>
      <x:c r="M178" s="127"/>
    </x:row>
    <x:row r="179" spans="1:13" ht="22.050000000000001">
      <x:c r="A179" s="23" t="s">
        <x:v>716</x:v>
      </x:c>
      <x:c r="B179" s="23" t="s">
        <x:v>680</x:v>
      </x:c>
      <x:c r="C179" s="124"/>
      <x:c r="D179" s="124">
        <x:v>1620</x:v>
      </x:c>
      <x:c r="E179" s="158">
        <x:v>49</x:v>
      </x:c>
      <x:c r="F179" s="23" t="s">
        <x:v>890</x:v>
      </x:c>
      <x:c r="G179" s="23" t="s">
        <x:v>620</x:v>
      </x:c>
      <x:c r="H179" s="142">
        <x:v>46290</x:v>
      </x:c>
      <x:c r="I179" s="124">
        <x:v>20</x:v>
      </x:c>
      <x:c r="J179" s="125"/>
      <x:c r="K179" s="25"/>
      <x:c r="L179" s="127"/>
      <x:c r="M179" s="127"/>
    </x:row>
    <x:row r="180" spans="1:13" ht="22.050000000000001">
      <x:c r="A180" s="20" t="s">
        <x:v>298</x:v>
      </x:c>
      <x:c r="B180" s="20" t="s">
        <x:v>289</x:v>
      </x:c>
      <x:c r="C180" s="123"/>
      <x:c r="D180" s="123"/>
      <x:c r="E180" s="157">
        <x:v>44</x:v>
      </x:c>
      <x:c r="F180" s="20" t="s">
        <x:v>907</x:v>
      </x:c>
      <x:c r="G180" s="20" t="s">
        <x:v>617</x:v>
      </x:c>
      <x:c r="H180" s="141">
        <x:v>46620</x:v>
      </x:c>
      <x:c r="I180" s="123">
        <x:v>11.09</x:v>
      </x:c>
      <x:c r="J180" s="127"/>
      <x:c r="K180" s="22"/>
      <x:c r="L180" s="127"/>
      <x:c r="M180" s="127"/>
    </x:row>
    <x:row r="181" spans="1:13" ht="22.050000000000001">
      <x:c r="A181" s="23" t="s">
        <x:v>298</x:v>
      </x:c>
      <x:c r="B181" s="23" t="s">
        <x:v>567</x:v>
      </x:c>
      <x:c r="C181" s="124"/>
      <x:c r="D181" s="124">
        <x:v>10.039870000000001</x:v>
      </x:c>
      <x:c r="E181" s="158">
        <x:v>100</x:v>
      </x:c>
      <x:c r="F181" s="23" t="s">
        <x:v>42</x:v>
      </x:c>
      <x:c r="G181" s="23" t="s">
        <x:v>617</x:v>
      </x:c>
      <x:c r="H181" s="142">
        <x:v>46508</x:v>
      </x:c>
      <x:c r="I181" s="124">
        <x:v>12.289999999999999</x:v>
      </x:c>
      <x:c r="J181" s="125"/>
      <x:c r="K181" s="25"/>
      <x:c r="L181" s="127"/>
      <x:c r="M181" s="127"/>
    </x:row>
    <x:row r="182" spans="1:13" ht="22.050000000000001">
      <x:c r="A182" s="20" t="s">
        <x:v>298</x:v>
      </x:c>
      <x:c r="B182" s="20" t="s">
        <x:v>567</x:v>
      </x:c>
      <x:c r="C182" s="123"/>
      <x:c r="D182" s="123"/>
      <x:c r="E182" s="157">
        <x:v>150</x:v>
      </x:c>
      <x:c r="F182" s="20" t="s">
        <x:v>42</x:v>
      </x:c>
      <x:c r="G182" s="20" t="s">
        <x:v>662</x:v>
      </x:c>
      <x:c r="H182" s="141">
        <x:v>46512</x:v>
      </x:c>
      <x:c r="I182" s="123">
        <x:v>12.1</x:v>
      </x:c>
      <x:c r="J182" s="127"/>
      <x:c r="K182" s="22"/>
      <x:c r="L182" s="127"/>
      <x:c r="M182" s="127"/>
    </x:row>
    <x:row r="183" spans="1:13" ht="22.050000000000001">
      <x:c r="A183" s="23" t="s">
        <x:v>334</x:v>
      </x:c>
      <x:c r="B183" s="23" t="s">
        <x:v>1008</x:v>
      </x:c>
      <x:c r="C183" s="124"/>
      <x:c r="D183" s="124">
        <x:v>355</x:v>
      </x:c>
      <x:c r="E183" s="158">
        <x:v>45</x:v>
      </x:c>
      <x:c r="F183" s="23" t="s">
        <x:v>894</x:v>
      </x:c>
      <x:c r="G183" s="23" t="s">
        <x:v>617</x:v>
      </x:c>
      <x:c r="H183" s="142">
        <x:v>46303</x:v>
      </x:c>
      <x:c r="I183" s="124">
        <x:v>10</x:v>
      </x:c>
      <x:c r="J183" s="125"/>
      <x:c r="K183" s="25"/>
      <x:c r="L183" s="127"/>
      <x:c r="M183" s="127"/>
    </x:row>
    <x:row r="184" spans="1:13" ht="22.050000000000001">
      <x:c r="A184" s="20" t="s">
        <x:v>334</x:v>
      </x:c>
      <x:c r="B184" s="20" t="s">
        <x:v>1008</x:v>
      </x:c>
      <x:c r="C184" s="123"/>
      <x:c r="D184" s="123">
        <x:v>355</x:v>
      </x:c>
      <x:c r="E184" s="157">
        <x:v>156</x:v>
      </x:c>
      <x:c r="F184" s="20" t="s">
        <x:v>894</x:v>
      </x:c>
      <x:c r="G184" s="20" t="s">
        <x:v>639</x:v>
      </x:c>
      <x:c r="H184" s="141">
        <x:v>46303</x:v>
      </x:c>
      <x:c r="I184" s="123">
        <x:v>10</x:v>
      </x:c>
      <x:c r="J184" s="127"/>
      <x:c r="K184" s="22"/>
      <x:c r="L184" s="127"/>
      <x:c r="M184" s="127"/>
    </x:row>
    <x:row r="185" spans="1:13" ht="22.050000000000001">
      <x:c r="A185" s="23" t="s">
        <x:v>334</x:v>
      </x:c>
      <x:c r="B185" s="23" t="s">
        <x:v>1008</x:v>
      </x:c>
      <x:c r="C185" s="124"/>
      <x:c r="D185" s="124">
        <x:v>355</x:v>
      </x:c>
      <x:c r="E185" s="158">
        <x:v>200</x:v>
      </x:c>
      <x:c r="F185" s="23" t="s">
        <x:v>862</x:v>
      </x:c>
      <x:c r="G185" s="31" t="s">
        <x:v>662</x:v>
      </x:c>
      <x:c r="H185" s="142">
        <x:v>46416</x:v>
      </x:c>
      <x:c r="I185" s="126">
        <x:v>10</x:v>
      </x:c>
      <x:c r="J185" s="125"/>
      <x:c r="K185" s="25"/>
      <x:c r="L185" s="127"/>
      <x:c r="M185" s="127"/>
    </x:row>
    <x:row r="186" spans="1:13" ht="22.050000000000001">
      <x:c r="A186" s="20" t="s">
        <x:v>709</x:v>
      </x:c>
      <x:c r="B186" s="20" t="s">
        <x:v>603</x:v>
      </x:c>
      <x:c r="C186" s="123"/>
      <x:c r="D186" s="123">
        <x:v>688</x:v>
      </x:c>
      <x:c r="E186" s="157">
        <x:v>40</x:v>
      </x:c>
      <x:c r="F186" s="20" t="s">
        <x:v>286</x:v>
      </x:c>
      <x:c r="G186" s="30" t="s">
        <x:v>617</x:v>
      </x:c>
      <x:c r="H186" s="141">
        <x:v>46694</x:v>
      </x:c>
      <x:c r="I186" s="129">
        <x:v>13.029999999999999</x:v>
      </x:c>
      <x:c r="J186" s="127"/>
      <x:c r="K186" s="22"/>
      <x:c r="L186" s="127"/>
      <x:c r="M186" s="127"/>
    </x:row>
    <x:row r="187" spans="1:13" ht="22.050000000000001">
      <x:c r="A187" s="23" t="s">
        <x:v>709</x:v>
      </x:c>
      <x:c r="B187" s="23" t="s">
        <x:v>603</x:v>
      </x:c>
      <x:c r="C187" s="124"/>
      <x:c r="D187" s="124">
        <x:v>688</x:v>
      </x:c>
      <x:c r="E187" s="158">
        <x:v>157</x:v>
      </x:c>
      <x:c r="F187" s="23" t="s">
        <x:v>286</x:v>
      </x:c>
      <x:c r="G187" s="31" t="s">
        <x:v>290</x:v>
      </x:c>
      <x:c r="H187" s="142">
        <x:v>46694</x:v>
      </x:c>
      <x:c r="I187" s="126">
        <x:v>13.029999999999999</x:v>
      </x:c>
      <x:c r="J187" s="125"/>
      <x:c r="K187" s="25"/>
      <x:c r="L187" s="127"/>
      <x:c r="M187" s="127"/>
    </x:row>
    <x:row r="188" spans="1:13" ht="22.050000000000001">
      <x:c r="A188" s="20" t="s">
        <x:v>673</x:v>
      </x:c>
      <x:c r="B188" s="20" t="s">
        <x:v>328</x:v>
      </x:c>
      <x:c r="C188" s="123" t="s">
        <x:v>599</x:v>
      </x:c>
      <x:c r="D188" s="123" t="s">
        <x:v>313</x:v>
      </x:c>
      <x:c r="E188" s="157">
        <x:v>12</x:v>
      </x:c>
      <x:c r="F188" s="20" t="s">
        <x:v>912</x:v>
      </x:c>
      <x:c r="G188" s="20" t="s">
        <x:v>617</x:v>
      </x:c>
      <x:c r="H188" s="141">
        <x:v>46528</x:v>
      </x:c>
      <x:c r="I188" s="123">
        <x:v>10</x:v>
      </x:c>
      <x:c r="J188" s="127"/>
      <x:c r="K188" s="22"/>
      <x:c r="L188" s="127"/>
      <x:c r="M188" s="127"/>
    </x:row>
    <x:row r="189" spans="1:13" ht="22.050000000000001">
      <x:c r="A189" s="23" t="s">
        <x:v>673</x:v>
      </x:c>
      <x:c r="B189" s="23" t="s">
        <x:v>339</x:v>
      </x:c>
      <x:c r="C189" s="124" t="s">
        <x:v>699</x:v>
      </x:c>
      <x:c r="D189" s="124" t="s">
        <x:v>342</x:v>
      </x:c>
      <x:c r="E189" s="158">
        <x:v>0</x:v>
      </x:c>
      <x:c r="F189" s="23" t="s">
        <x:v>893</x:v>
      </x:c>
      <x:c r="G189" s="23" t="s">
        <x:v>756</x:v>
      </x:c>
      <x:c r="H189" s="142">
        <x:v>46549</x:v>
      </x:c>
      <x:c r="I189" s="124">
        <x:v>18</x:v>
      </x:c>
      <x:c r="J189" s="125"/>
      <x:c r="K189" s="25"/>
      <x:c r="L189" s="127"/>
      <x:c r="M189" s="127"/>
    </x:row>
    <x:row r="190" spans="1:13" ht="22.050000000000001">
      <x:c r="A190" s="20" t="s">
        <x:v>673</x:v>
      </x:c>
      <x:c r="B190" s="20" t="s">
        <x:v>339</x:v>
      </x:c>
      <x:c r="C190" s="123" t="s">
        <x:v>699</x:v>
      </x:c>
      <x:c r="D190" s="123" t="s">
        <x:v>342</x:v>
      </x:c>
      <x:c r="E190" s="157">
        <x:v>7</x:v>
      </x:c>
      <x:c r="F190" s="20" t="s">
        <x:v>279</x:v>
      </x:c>
      <x:c r="G190" s="20" t="s">
        <x:v>756</x:v>
      </x:c>
      <x:c r="H190" s="141">
        <x:v>46708</x:v>
      </x:c>
      <x:c r="I190" s="123">
        <x:v>18</x:v>
      </x:c>
      <x:c r="J190" s="127"/>
      <x:c r="K190" s="22"/>
      <x:c r="L190" s="127"/>
      <x:c r="M190" s="127"/>
    </x:row>
    <x:row r="191" spans="1:13" ht="22.050000000000001">
      <x:c r="A191" s="23" t="s">
        <x:v>673</x:v>
      </x:c>
      <x:c r="B191" s="23" t="s">
        <x:v>339</x:v>
      </x:c>
      <x:c r="C191" s="124" t="s">
        <x:v>699</x:v>
      </x:c>
      <x:c r="D191" s="124" t="s">
        <x:v>342</x:v>
      </x:c>
      <x:c r="E191" s="158">
        <x:v>8</x:v>
      </x:c>
      <x:c r="F191" s="23" t="s">
        <x:v>279</x:v>
      </x:c>
      <x:c r="G191" s="23" t="s">
        <x:v>617</x:v>
      </x:c>
      <x:c r="H191" s="142">
        <x:v>46708</x:v>
      </x:c>
      <x:c r="I191" s="124">
        <x:v>18</x:v>
      </x:c>
      <x:c r="J191" s="125"/>
      <x:c r="K191" s="25"/>
      <x:c r="L191" s="127"/>
      <x:c r="M191" s="127"/>
    </x:row>
    <x:row r="192" spans="1:13" ht="22.050000000000001">
      <x:c r="A192" s="20" t="s">
        <x:v>673</x:v>
      </x:c>
      <x:c r="B192" s="20" t="s">
        <x:v>339</x:v>
      </x:c>
      <x:c r="C192" s="123" t="s">
        <x:v>699</x:v>
      </x:c>
      <x:c r="D192" s="123" t="s">
        <x:v>342</x:v>
      </x:c>
      <x:c r="E192" s="157">
        <x:v>272</x:v>
      </x:c>
      <x:c r="F192" s="20" t="s">
        <x:v>933</x:v>
      </x:c>
      <x:c r="G192" s="20" t="s">
        <x:v>679</x:v>
      </x:c>
      <x:c r="H192" s="141">
        <x:v>46723</x:v>
      </x:c>
      <x:c r="I192" s="123">
        <x:v>18</x:v>
      </x:c>
      <x:c r="J192" s="127"/>
      <x:c r="K192" s="22"/>
      <x:c r="L192" s="127"/>
      <x:c r="M192" s="127"/>
    </x:row>
    <x:row r="193" spans="1:13" ht="22.050000000000001">
      <x:c r="A193" s="31" t="s">
        <x:v>673</x:v>
      </x:c>
      <x:c r="B193" s="31" t="s">
        <x:v>603</x:v>
      </x:c>
      <x:c r="C193" s="124"/>
      <x:c r="D193" s="124">
        <x:v>20202</x:v>
      </x:c>
      <x:c r="E193" s="158">
        <x:v>4</x:v>
      </x:c>
      <x:c r="F193" s="31" t="s">
        <x:v>939</x:v>
      </x:c>
      <x:c r="G193" s="31" t="s">
        <x:v>290</x:v>
      </x:c>
      <x:c r="H193" s="142">
        <x:v>46687</x:v>
      </x:c>
      <x:c r="I193" s="124">
        <x:v>10.27</x:v>
      </x:c>
      <x:c r="J193" s="125"/>
      <x:c r="K193" s="25"/>
      <x:c r="L193" s="127"/>
      <x:c r="M193" s="127"/>
    </x:row>
    <x:row r="194" spans="1:13" ht="22.050000000000001">
      <x:c r="A194" s="22" t="s">
        <x:v>673</x:v>
      </x:c>
      <x:c r="B194" s="22" t="s">
        <x:v>603</x:v>
      </x:c>
      <x:c r="C194" s="127"/>
      <x:c r="D194" s="127">
        <x:v>20202</x:v>
      </x:c>
      <x:c r="E194" s="160">
        <x:v>10</x:v>
      </x:c>
      <x:c r="F194" s="22" t="s">
        <x:v>939</x:v>
      </x:c>
      <x:c r="G194" s="22" t="s">
        <x:v>290</x:v>
      </x:c>
      <x:c r="H194" s="144">
        <x:v>46687</x:v>
      </x:c>
      <x:c r="I194" s="127">
        <x:v>10.27</x:v>
      </x:c>
      <x:c r="J194" s="127">
        <x:v>46136</x:v>
      </x:c>
      <x:c r="K194" s="22" t="s">
        <x:v>338</x:v>
      </x:c>
      <x:c r="L194" s="125"/>
      <x:c r="M194" s="125"/>
    </x:row>
    <x:row r="195" spans="1:13" ht="22.050000000000001">
      <x:c r="A195" s="31" t="s">
        <x:v>673</x:v>
      </x:c>
      <x:c r="B195" s="31" t="s">
        <x:v>603</x:v>
      </x:c>
      <x:c r="C195" s="124"/>
      <x:c r="D195" s="124">
        <x:v>20202</x:v>
      </x:c>
      <x:c r="E195" s="158">
        <x:v>288</x:v>
      </x:c>
      <x:c r="F195" s="31" t="s">
        <x:v>924</x:v>
      </x:c>
      <x:c r="G195" s="31" t="s">
        <x:v>290</x:v>
      </x:c>
      <x:c r="H195" s="142">
        <x:v>46687</x:v>
      </x:c>
      <x:c r="I195" s="124">
        <x:v>10.24</x:v>
      </x:c>
      <x:c r="J195" s="125"/>
      <x:c r="K195" s="25"/>
      <x:c r="L195" s="127"/>
      <x:c r="M195" s="127"/>
    </x:row>
    <x:row r="196" spans="1:13" ht="22.050000000000001">
      <x:c r="A196" s="20" t="s">
        <x:v>673</x:v>
      </x:c>
      <x:c r="B196" s="20" t="s">
        <x:v>603</x:v>
      </x:c>
      <x:c r="C196" s="123"/>
      <x:c r="D196" s="123">
        <x:v>20202</x:v>
      </x:c>
      <x:c r="E196" s="157">
        <x:v>418</x:v>
      </x:c>
      <x:c r="F196" s="20" t="s">
        <x:v>928</x:v>
      </x:c>
      <x:c r="G196" s="20" t="s">
        <x:v>290</x:v>
      </x:c>
      <x:c r="H196" s="141">
        <x:v>46689</x:v>
      </x:c>
      <x:c r="I196" s="123">
        <x:v>10.01</x:v>
      </x:c>
      <x:c r="J196" s="127"/>
      <x:c r="K196" s="22"/>
      <x:c r="L196" s="127"/>
      <x:c r="M196" s="127"/>
    </x:row>
    <x:row r="197" spans="1:13" ht="22.050000000000001">
      <x:c r="A197" s="23" t="s">
        <x:v>673</x:v>
      </x:c>
      <x:c r="B197" s="23" t="s">
        <x:v>603</x:v>
      </x:c>
      <x:c r="C197" s="124"/>
      <x:c r="D197" s="124">
        <x:v>20202</x:v>
      </x:c>
      <x:c r="E197" s="158">
        <x:v>265</x:v>
      </x:c>
      <x:c r="F197" s="23" t="s">
        <x:v>858</x:v>
      </x:c>
      <x:c r="G197" s="23" t="s">
        <x:v>617</x:v>
      </x:c>
      <x:c r="H197" s="142">
        <x:v>46696</x:v>
      </x:c>
      <x:c r="I197" s="124">
        <x:v>10.27</x:v>
      </x:c>
      <x:c r="J197" s="125"/>
      <x:c r="K197" s="25"/>
      <x:c r="L197" s="127"/>
      <x:c r="M197" s="127"/>
    </x:row>
    <x:row r="198" spans="1:13" ht="22.050000000000001">
      <x:c r="A198" s="30" t="s">
        <x:v>698</x:v>
      </x:c>
      <x:c r="B198" s="30" t="s">
        <x:v>355</x:v>
      </x:c>
      <x:c r="C198" s="123"/>
      <x:c r="D198" s="123"/>
      <x:c r="E198" s="157">
        <x:v>474</x:v>
      </x:c>
      <x:c r="F198" s="30" t="s">
        <x:v>1039</x:v>
      </x:c>
      <x:c r="G198" s="30" t="s">
        <x:v>639</x:v>
      </x:c>
      <x:c r="H198" s="141">
        <x:v>46470</x:v>
      </x:c>
      <x:c r="I198" s="123">
        <x:v>18.079999999999998</x:v>
      </x:c>
      <x:c r="J198" s="127"/>
      <x:c r="K198" s="22"/>
      <x:c r="L198" s="127"/>
      <x:c r="M198" s="127"/>
    </x:row>
    <x:row r="199" spans="1:13" ht="22.050000000000001">
      <x:c r="A199" s="23" t="s">
        <x:v>698</x:v>
      </x:c>
      <x:c r="B199" s="23" t="s">
        <x:v>573</x:v>
      </x:c>
      <x:c r="C199" s="124"/>
      <x:c r="D199" s="124" t="s">
        <x:v>683</x:v>
      </x:c>
      <x:c r="E199" s="158">
        <x:v>22</x:v>
      </x:c>
      <x:c r="F199" s="23" t="s">
        <x:v>1007</x:v>
      </x:c>
      <x:c r="G199" s="23" t="s">
        <x:v>617</x:v>
      </x:c>
      <x:c r="H199" s="142">
        <x:v>46668</x:v>
      </x:c>
      <x:c r="I199" s="124">
        <x:v>22.09</x:v>
      </x:c>
      <x:c r="J199" s="125"/>
      <x:c r="K199" s="25"/>
      <x:c r="L199" s="127"/>
      <x:c r="M199" s="127"/>
    </x:row>
    <x:row r="200" spans="1:13" ht="22.050000000000001">
      <x:c r="A200" s="20" t="s">
        <x:v>698</x:v>
      </x:c>
      <x:c r="B200" s="20" t="s">
        <x:v>573</x:v>
      </x:c>
      <x:c r="C200" s="123"/>
      <x:c r="D200" s="123" t="s">
        <x:v>683</x:v>
      </x:c>
      <x:c r="E200" s="157">
        <x:v>22</x:v>
      </x:c>
      <x:c r="F200" s="20" t="s">
        <x:v>1007</x:v>
      </x:c>
      <x:c r="G200" s="20" t="s">
        <x:v>620</x:v>
      </x:c>
      <x:c r="H200" s="141">
        <x:v>46668</x:v>
      </x:c>
      <x:c r="I200" s="123">
        <x:v>22.09</x:v>
      </x:c>
      <x:c r="J200" s="127"/>
      <x:c r="K200" s="22"/>
      <x:c r="L200" s="127"/>
      <x:c r="M200" s="127"/>
    </x:row>
    <x:row r="201" spans="1:13" ht="22.050000000000001">
      <x:c r="A201" s="25" t="s">
        <x:v>698</x:v>
      </x:c>
      <x:c r="B201" s="25" t="s">
        <x:v>573</x:v>
      </x:c>
      <x:c r="C201" s="125"/>
      <x:c r="D201" s="125" t="s">
        <x:v>683</x:v>
      </x:c>
      <x:c r="E201" s="159">
        <x:v>110</x:v>
      </x:c>
      <x:c r="F201" s="25" t="s">
        <x:v>1007</x:v>
      </x:c>
      <x:c r="G201" s="25" t="s">
        <x:v>620</x:v>
      </x:c>
      <x:c r="H201" s="143">
        <x:v>46668</x:v>
      </x:c>
      <x:c r="I201" s="125">
        <x:v>22.09</x:v>
      </x:c>
      <x:c r="J201" s="125">
        <x:v>46136</x:v>
      </x:c>
      <x:c r="K201" s="25" t="s">
        <x:v>1029</x:v>
      </x:c>
      <x:c r="L201" s="125"/>
      <x:c r="M201" s="125"/>
    </x:row>
    <x:row r="202" spans="1:13" ht="22.050000000000001">
      <x:c r="A202" s="20" t="s">
        <x:v>689</x:v>
      </x:c>
      <x:c r="B202" s="20" t="s">
        <x:v>1043</x:v>
      </x:c>
      <x:c r="C202" s="123"/>
      <x:c r="D202" s="153" t="s">
        <x:v>712</x:v>
      </x:c>
      <x:c r="E202" s="157">
        <x:v>97</x:v>
      </x:c>
      <x:c r="F202" s="20" t="s">
        <x:v>891</x:v>
      </x:c>
      <x:c r="G202" s="20" t="s">
        <x:v>617</x:v>
      </x:c>
      <x:c r="H202" s="141">
        <x:v>46569</x:v>
      </x:c>
      <x:c r="I202" s="123">
        <x:v>16</x:v>
      </x:c>
      <x:c r="J202" s="127"/>
      <x:c r="K202" s="22"/>
      <x:c r="L202" s="127"/>
      <x:c r="M202" s="127"/>
    </x:row>
    <x:row r="203" spans="1:13" ht="22.050000000000001">
      <x:c r="A203" s="23" t="s">
        <x:v>689</x:v>
      </x:c>
      <x:c r="B203" s="23" t="s">
        <x:v>339</x:v>
      </x:c>
      <x:c r="C203" s="124"/>
      <x:c r="D203" s="124" t="s">
        <x:v>342</x:v>
      </x:c>
      <x:c r="E203" s="158">
        <x:v>50</x:v>
      </x:c>
      <x:c r="F203" s="23" t="s">
        <x:v>911</x:v>
      </x:c>
      <x:c r="G203" s="23" t="s">
        <x:v>617</x:v>
      </x:c>
      <x:c r="H203" s="142">
        <x:v>46676</x:v>
      </x:c>
      <x:c r="I203" s="124">
        <x:v>15</x:v>
      </x:c>
      <x:c r="J203" s="125"/>
      <x:c r="K203" s="25"/>
      <x:c r="L203" s="127"/>
      <x:c r="M203" s="127"/>
    </x:row>
    <x:row r="204" spans="1:13" ht="22.050000000000001">
      <x:c r="A204" s="20" t="s">
        <x:v>689</x:v>
      </x:c>
      <x:c r="B204" s="20" t="s">
        <x:v>339</x:v>
      </x:c>
      <x:c r="C204" s="123"/>
      <x:c r="D204" s="123" t="s">
        <x:v>342</x:v>
      </x:c>
      <x:c r="E204" s="157">
        <x:v>62</x:v>
      </x:c>
      <x:c r="F204" s="20" t="s">
        <x:v>911</x:v>
      </x:c>
      <x:c r="G204" s="20" t="s">
        <x:v>756</x:v>
      </x:c>
      <x:c r="H204" s="141">
        <x:v>46676</x:v>
      </x:c>
      <x:c r="I204" s="123">
        <x:v>15</x:v>
      </x:c>
      <x:c r="J204" s="127"/>
      <x:c r="K204" s="22"/>
      <x:c r="L204" s="127"/>
      <x:c r="M204" s="127"/>
    </x:row>
    <x:row r="205" spans="1:13" ht="22.050000000000001">
      <x:c r="A205" s="23" t="s">
        <x:v>689</x:v>
      </x:c>
      <x:c r="B205" s="23" t="s">
        <x:v>339</x:v>
      </x:c>
      <x:c r="C205" s="124"/>
      <x:c r="D205" s="124" t="s">
        <x:v>342</x:v>
      </x:c>
      <x:c r="E205" s="158">
        <x:v>28</x:v>
      </x:c>
      <x:c r="F205" s="23" t="s">
        <x:v>276</x:v>
      </x:c>
      <x:c r="G205" s="23" t="s">
        <x:v>756</x:v>
      </x:c>
      <x:c r="H205" s="142">
        <x:v>46697</x:v>
      </x:c>
      <x:c r="I205" s="124">
        <x:v>15</x:v>
      </x:c>
      <x:c r="J205" s="125"/>
      <x:c r="K205" s="25"/>
      <x:c r="L205" s="127"/>
      <x:c r="M205" s="127"/>
    </x:row>
    <x:row r="206" spans="1:13" ht="22.050000000000001">
      <x:c r="A206" s="20" t="s">
        <x:v>689</x:v>
      </x:c>
      <x:c r="B206" s="20" t="s">
        <x:v>339</x:v>
      </x:c>
      <x:c r="C206" s="123"/>
      <x:c r="D206" s="123" t="s">
        <x:v>342</x:v>
      </x:c>
      <x:c r="E206" s="157">
        <x:v>152</x:v>
      </x:c>
      <x:c r="F206" s="20" t="s">
        <x:v>944</x:v>
      </x:c>
      <x:c r="G206" s="20" t="s">
        <x:v>756</x:v>
      </x:c>
      <x:c r="H206" s="141">
        <x:v>46717</x:v>
      </x:c>
      <x:c r="I206" s="123">
        <x:v>15</x:v>
      </x:c>
      <x:c r="J206" s="127"/>
      <x:c r="K206" s="22"/>
      <x:c r="L206" s="127"/>
      <x:c r="M206" s="127"/>
    </x:row>
    <x:row r="207" spans="1:13" ht="22.050000000000001">
      <x:c r="A207" s="40" t="s">
        <x:v>689</x:v>
      </x:c>
      <x:c r="B207" s="40" t="s">
        <x:v>339</x:v>
      </x:c>
      <x:c r="C207" s="130"/>
      <x:c r="D207" s="130" t="s">
        <x:v>342</x:v>
      </x:c>
      <x:c r="E207" s="162">
        <x:v>53</x:v>
      </x:c>
      <x:c r="F207" s="40" t="s">
        <x:v>878</x:v>
      </x:c>
      <x:c r="G207" s="40" t="s">
        <x:v>756</x:v>
      </x:c>
      <x:c r="H207" s="146">
        <x:v>46724</x:v>
      </x:c>
      <x:c r="I207" s="130">
        <x:v>15</x:v>
      </x:c>
      <x:c r="J207" s="125"/>
      <x:c r="K207" s="25"/>
      <x:c r="L207" s="125"/>
      <x:c r="M207" s="125"/>
    </x:row>
    <x:row r="208" spans="1:13" ht="22.050000000000001">
      <x:c r="A208" s="20" t="s">
        <x:v>689</x:v>
      </x:c>
      <x:c r="B208" s="20" t="s">
        <x:v>339</x:v>
      </x:c>
      <x:c r="C208" s="123"/>
      <x:c r="D208" s="123" t="s">
        <x:v>342</x:v>
      </x:c>
      <x:c r="E208" s="157">
        <x:v>33</x:v>
      </x:c>
      <x:c r="F208" s="20" t="s">
        <x:v>885</x:v>
      </x:c>
      <x:c r="G208" s="20" t="s">
        <x:v>756</x:v>
      </x:c>
      <x:c r="H208" s="141">
        <x:v>46751</x:v>
      </x:c>
      <x:c r="I208" s="123">
        <x:v>15</x:v>
      </x:c>
      <x:c r="J208" s="127"/>
      <x:c r="K208" s="22"/>
      <x:c r="L208" s="127"/>
      <x:c r="M208" s="127"/>
    </x:row>
    <x:row r="209" spans="1:13" ht="22.050000000000001">
      <x:c r="A209" s="25" t="s">
        <x:v>689</x:v>
      </x:c>
      <x:c r="B209" s="25" t="s">
        <x:v>573</x:v>
      </x:c>
      <x:c r="C209" s="125"/>
      <x:c r="D209" s="125" t="s">
        <x:v>691</x:v>
      </x:c>
      <x:c r="E209" s="159">
        <x:v>0</x:v>
      </x:c>
      <x:c r="F209" s="25" t="s">
        <x:v>898</x:v>
      </x:c>
      <x:c r="G209" s="25" t="s">
        <x:v>337</x:v>
      </x:c>
      <x:c r="H209" s="143">
        <x:v>46423</x:v>
      </x:c>
      <x:c r="I209" s="125">
        <x:v>15.880000000000001</x:v>
      </x:c>
      <x:c r="J209" s="125">
        <x:v>46135</x:v>
      </x:c>
      <x:c r="K209" s="25" t="s">
        <x:v>336</x:v>
      </x:c>
      <x:c r="L209" s="125"/>
      <x:c r="M209" s="125"/>
    </x:row>
    <x:row r="210" spans="1:13" ht="22.050000000000001">
      <x:c r="A210" s="20" t="s">
        <x:v>689</x:v>
      </x:c>
      <x:c r="B210" s="20" t="s">
        <x:v>573</x:v>
      </x:c>
      <x:c r="C210" s="123"/>
      <x:c r="D210" s="123" t="s">
        <x:v>691</x:v>
      </x:c>
      <x:c r="E210" s="157">
        <x:v>270</x:v>
      </x:c>
      <x:c r="F210" s="20" t="s">
        <x:v>898</x:v>
      </x:c>
      <x:c r="G210" s="20" t="s">
        <x:v>337</x:v>
      </x:c>
      <x:c r="H210" s="141">
        <x:v>46423</x:v>
      </x:c>
      <x:c r="I210" s="123">
        <x:v>15.880000000000001</x:v>
      </x:c>
      <x:c r="J210" s="127"/>
      <x:c r="K210" s="22"/>
      <x:c r="L210" s="127"/>
      <x:c r="M210" s="127"/>
    </x:row>
    <x:row r="211" spans="1:13" ht="22.050000000000001">
      <x:c r="A211" s="23" t="s">
        <x:v>689</x:v>
      </x:c>
      <x:c r="B211" s="23" t="s">
        <x:v>573</x:v>
      </x:c>
      <x:c r="C211" s="124"/>
      <x:c r="D211" s="124" t="s">
        <x:v>691</x:v>
      </x:c>
      <x:c r="E211" s="158">
        <x:v>293</x:v>
      </x:c>
      <x:c r="F211" s="23" t="s">
        <x:v>281</x:v>
      </x:c>
      <x:c r="G211" s="23" t="s">
        <x:v>690</x:v>
      </x:c>
      <x:c r="H211" s="142">
        <x:v>46704</x:v>
      </x:c>
      <x:c r="I211" s="124">
        <x:v>15.880000000000001</x:v>
      </x:c>
      <x:c r="J211" s="125"/>
      <x:c r="K211" s="25"/>
      <x:c r="L211" s="127"/>
      <x:c r="M211" s="127"/>
    </x:row>
    <x:row r="212" spans="1:13" ht="22.050000000000001">
      <x:c r="A212" s="30" t="s">
        <x:v>689</x:v>
      </x:c>
      <x:c r="B212" s="30" t="s">
        <x:v>573</x:v>
      </x:c>
      <x:c r="C212" s="123"/>
      <x:c r="D212" s="123" t="s">
        <x:v>691</x:v>
      </x:c>
      <x:c r="E212" s="157">
        <x:v>70</x:v>
      </x:c>
      <x:c r="F212" s="30" t="s">
        <x:v>29</x:v>
      </x:c>
      <x:c r="G212" s="30" t="s">
        <x:v>756</x:v>
      </x:c>
      <x:c r="H212" s="141">
        <x:v>46707</x:v>
      </x:c>
      <x:c r="I212" s="123">
        <x:v>15.880000000000001</x:v>
      </x:c>
      <x:c r="J212" s="127"/>
      <x:c r="K212" s="22"/>
      <x:c r="L212" s="127"/>
      <x:c r="M212" s="127"/>
    </x:row>
    <x:row r="213" spans="1:13" ht="22.050000000000001">
      <x:c r="A213" s="23" t="s">
        <x:v>689</x:v>
      </x:c>
      <x:c r="B213" s="23" t="s">
        <x:v>573</x:v>
      </x:c>
      <x:c r="C213" s="124"/>
      <x:c r="D213" s="124" t="s">
        <x:v>691</x:v>
      </x:c>
      <x:c r="E213" s="158">
        <x:v>13</x:v>
      </x:c>
      <x:c r="F213" s="23" t="s">
        <x:v>12</x:v>
      </x:c>
      <x:c r="G213" s="23" t="s">
        <x:v>617</x:v>
      </x:c>
      <x:c r="H213" s="142">
        <x:v>46737</x:v>
      </x:c>
      <x:c r="I213" s="124">
        <x:v>15.880000000000001</x:v>
      </x:c>
      <x:c r="J213" s="125"/>
      <x:c r="K213" s="25"/>
      <x:c r="L213" s="127"/>
      <x:c r="M213" s="127"/>
    </x:row>
    <x:row r="214" spans="1:13" ht="22.050000000000001">
      <x:c r="A214" s="30" t="s">
        <x:v>689</x:v>
      </x:c>
      <x:c r="B214" s="30" t="s">
        <x:v>573</x:v>
      </x:c>
      <x:c r="C214" s="123"/>
      <x:c r="D214" s="123" t="s">
        <x:v>691</x:v>
      </x:c>
      <x:c r="E214" s="157">
        <x:v>320</x:v>
      </x:c>
      <x:c r="F214" s="30" t="s">
        <x:v>66</x:v>
      </x:c>
      <x:c r="G214" s="30" t="s">
        <x:v>756</x:v>
      </x:c>
      <x:c r="H214" s="141">
        <x:v>46760</x:v>
      </x:c>
      <x:c r="I214" s="123">
        <x:v>15.880000000000001</x:v>
      </x:c>
      <x:c r="J214" s="127"/>
      <x:c r="K214" s="22"/>
      <x:c r="L214" s="127"/>
      <x:c r="M214" s="127"/>
    </x:row>
    <x:row r="215" spans="1:13" ht="22.050000000000001">
      <x:c r="A215" s="23" t="s">
        <x:v>689</x:v>
      </x:c>
      <x:c r="B215" s="23" t="s">
        <x:v>603</x:v>
      </x:c>
      <x:c r="C215" s="124"/>
      <x:c r="D215" s="124">
        <x:v>20202</x:v>
      </x:c>
      <x:c r="E215" s="158">
        <x:v>30</x:v>
      </x:c>
      <x:c r="F215" s="23" t="s">
        <x:v>902</x:v>
      </x:c>
      <x:c r="G215" s="23" t="s">
        <x:v>617</x:v>
      </x:c>
      <x:c r="H215" s="142">
        <x:v>46705</x:v>
      </x:c>
      <x:c r="I215" s="124">
        <x:v>13</x:v>
      </x:c>
      <x:c r="J215" s="125"/>
      <x:c r="K215" s="25"/>
      <x:c r="L215" s="127"/>
      <x:c r="M215" s="127"/>
    </x:row>
    <x:row r="216" spans="1:13" ht="22.050000000000001">
      <x:c r="A216" s="20" t="s">
        <x:v>689</x:v>
      </x:c>
      <x:c r="B216" s="20" t="s">
        <x:v>603</x:v>
      </x:c>
      <x:c r="C216" s="123"/>
      <x:c r="D216" s="123">
        <x:v>20202</x:v>
      </x:c>
      <x:c r="E216" s="157">
        <x:v>319</x:v>
      </x:c>
      <x:c r="F216" s="20" t="s">
        <x:v>899</x:v>
      </x:c>
      <x:c r="G216" s="20" t="s">
        <x:v>290</x:v>
      </x:c>
      <x:c r="H216" s="141">
        <x:v>46743</x:v>
      </x:c>
      <x:c r="I216" s="123">
        <x:v>13</x:v>
      </x:c>
      <x:c r="J216" s="127"/>
      <x:c r="K216" s="22"/>
      <x:c r="L216" s="127"/>
      <x:c r="M216" s="127"/>
    </x:row>
    <x:row r="217" spans="1:13" ht="22.050000000000001">
      <x:c r="A217" s="31" t="s">
        <x:v>724</x:v>
      </x:c>
      <x:c r="B217" s="31" t="s">
        <x:v>1043</x:v>
      </x:c>
      <x:c r="C217" s="124"/>
      <x:c r="D217" s="154" t="s">
        <x:v>712</x:v>
      </x:c>
      <x:c r="E217" s="158">
        <x:v>100</x:v>
      </x:c>
      <x:c r="F217" s="31" t="s">
        <x:v>874</x:v>
      </x:c>
      <x:c r="G217" s="31" t="s">
        <x:v>652</x:v>
      </x:c>
      <x:c r="H217" s="142">
        <x:v>46534</x:v>
      </x:c>
      <x:c r="I217" s="124">
        <x:v>12.09</x:v>
      </x:c>
      <x:c r="J217" s="125"/>
      <x:c r="K217" s="25"/>
      <x:c r="L217" s="125"/>
      <x:c r="M217" s="125"/>
    </x:row>
    <x:row r="218" spans="1:13" ht="22.050000000000001">
      <x:c r="A218" s="30" t="s">
        <x:v>724</x:v>
      </x:c>
      <x:c r="B218" s="30" t="s">
        <x:v>1043</x:v>
      </x:c>
      <x:c r="C218" s="123"/>
      <x:c r="D218" s="153" t="s">
        <x:v>712</x:v>
      </x:c>
      <x:c r="E218" s="157">
        <x:v>20</x:v>
      </x:c>
      <x:c r="F218" s="30" t="s">
        <x:v>895</x:v>
      </x:c>
      <x:c r="G218" s="30" t="s">
        <x:v>617</x:v>
      </x:c>
      <x:c r="H218" s="141">
        <x:v>46692</x:v>
      </x:c>
      <x:c r="I218" s="123">
        <x:v>12.130000000000001</x:v>
      </x:c>
      <x:c r="J218" s="127"/>
      <x:c r="K218" s="37"/>
      <x:c r="L218" s="125"/>
      <x:c r="M218" s="125"/>
    </x:row>
    <x:row r="219" spans="1:13" ht="22.050000000000001">
      <x:c r="A219" s="23" t="s">
        <x:v>724</x:v>
      </x:c>
      <x:c r="B219" s="31" t="s">
        <x:v>343</x:v>
      </x:c>
      <x:c r="C219" s="124"/>
      <x:c r="D219" s="124">
        <x:v>126</x:v>
      </x:c>
      <x:c r="E219" s="158">
        <x:v>38</x:v>
      </x:c>
      <x:c r="F219" s="23" t="s">
        <x:v>24</x:v>
      </x:c>
      <x:c r="G219" s="23" t="s">
        <x:v>617</x:v>
      </x:c>
      <x:c r="H219" s="142">
        <x:v>46692</x:v>
      </x:c>
      <x:c r="I219" s="124">
        <x:v>17.420000000000002</x:v>
      </x:c>
      <x:c r="J219" s="125"/>
      <x:c r="K219" s="25"/>
      <x:c r="L219" s="127"/>
      <x:c r="M219" s="127"/>
    </x:row>
    <x:row r="220" spans="1:13" ht="22.050000000000001">
      <x:c r="A220" s="20" t="s">
        <x:v>724</x:v>
      </x:c>
      <x:c r="B220" s="30" t="s">
        <x:v>671</x:v>
      </x:c>
      <x:c r="C220" s="123"/>
      <x:c r="D220" s="123">
        <x:v>10.03341</x:v>
      </x:c>
      <x:c r="E220" s="157">
        <x:v>72</x:v>
      </x:c>
      <x:c r="F220" s="20" t="s">
        <x:v>1044</x:v>
      </x:c>
      <x:c r="G220" s="20" t="s">
        <x:v>617</x:v>
      </x:c>
      <x:c r="H220" s="141">
        <x:v>46447</x:v>
      </x:c>
      <x:c r="I220" s="123">
        <x:v>11.41</x:v>
      </x:c>
      <x:c r="J220" s="127"/>
      <x:c r="K220" s="22"/>
      <x:c r="L220" s="127"/>
      <x:c r="M220" s="127"/>
    </x:row>
    <x:row r="221" spans="1:13" ht="22.050000000000001">
      <x:c r="A221" s="23" t="s">
        <x:v>724</x:v>
      </x:c>
      <x:c r="B221" s="23" t="s">
        <x:v>644</x:v>
      </x:c>
      <x:c r="C221" s="124"/>
      <x:c r="D221" s="124">
        <x:v>10.083780000000001</x:v>
      </x:c>
      <x:c r="E221" s="158">
        <x:v>29</x:v>
      </x:c>
      <x:c r="F221" s="23" t="s">
        <x:v>917</x:v>
      </x:c>
      <x:c r="G221" s="23" t="s">
        <x:v>617</x:v>
      </x:c>
      <x:c r="H221" s="142">
        <x:v>46266</x:v>
      </x:c>
      <x:c r="I221" s="124">
        <x:v>9</x:v>
      </x:c>
      <x:c r="J221" s="125"/>
      <x:c r="K221" s="25"/>
      <x:c r="L221" s="127"/>
      <x:c r="M221" s="127"/>
    </x:row>
    <x:row r="222" spans="1:13" ht="22.050000000000001">
      <x:c r="A222" s="20" t="s">
        <x:v>724</x:v>
      </x:c>
      <x:c r="B222" s="20" t="s">
        <x:v>1051</x:v>
      </x:c>
      <x:c r="C222" s="123"/>
      <x:c r="D222" s="123">
        <x:v>10.021409999999999</x:v>
      </x:c>
      <x:c r="E222" s="157">
        <x:v>600</x:v>
      </x:c>
      <x:c r="F222" s="20" t="s">
        <x:v>1047</x:v>
      </x:c>
      <x:c r="G222" s="20" t="s">
        <x:v>690</x:v>
      </x:c>
      <x:c r="H222" s="141">
        <x:v>46434</x:v>
      </x:c>
      <x:c r="I222" s="123">
        <x:v>8.8499999999999996</x:v>
      </x:c>
      <x:c r="J222" s="127"/>
      <x:c r="K222" s="22"/>
      <x:c r="L222" s="125"/>
      <x:c r="M222" s="125"/>
    </x:row>
    <x:row r="223" spans="1:13" ht="22.050000000000001">
      <x:c r="A223" s="23" t="s">
        <x:v>724</x:v>
      </x:c>
      <x:c r="B223" s="23" t="s">
        <x:v>1051</x:v>
      </x:c>
      <x:c r="C223" s="124"/>
      <x:c r="D223" s="124">
        <x:v>10.021409999999999</x:v>
      </x:c>
      <x:c r="E223" s="158">
        <x:v>120</x:v>
      </x:c>
      <x:c r="F223" s="23" t="s">
        <x:v>1026</x:v>
      </x:c>
      <x:c r="G223" s="23" t="s">
        <x:v>617</x:v>
      </x:c>
      <x:c r="H223" s="142">
        <x:v>46701</x:v>
      </x:c>
      <x:c r="I223" s="124">
        <x:v>8.8000000000000007</x:v>
      </x:c>
      <x:c r="J223" s="125"/>
      <x:c r="K223" s="25"/>
      <x:c r="L223" s="127"/>
      <x:c r="M223" s="127"/>
    </x:row>
    <x:row r="224" spans="1:13" ht="22.050000000000001">
      <x:c r="A224" s="20" t="s">
        <x:v>724</x:v>
      </x:c>
      <x:c r="B224" s="30" t="s">
        <x:v>1051</x:v>
      </x:c>
      <x:c r="C224" s="123"/>
      <x:c r="D224" s="123"/>
      <x:c r="E224" s="157">
        <x:v>196</x:v>
      </x:c>
      <x:c r="F224" s="20" t="s">
        <x:v>1055</x:v>
      </x:c>
      <x:c r="G224" s="20" t="s">
        <x:v>381</x:v>
      </x:c>
      <x:c r="H224" s="141">
        <x:v>46711</x:v>
      </x:c>
      <x:c r="I224" s="123">
        <x:v>8.7300000000000004</x:v>
      </x:c>
      <x:c r="J224" s="127"/>
      <x:c r="K224" s="22"/>
      <x:c r="L224" s="127"/>
      <x:c r="M224" s="127"/>
    </x:row>
    <x:row r="225" spans="1:13" ht="22.050000000000001">
      <x:c r="A225" s="25" t="s">
        <x:v>724</x:v>
      </x:c>
      <x:c r="B225" s="25" t="s">
        <x:v>1049</x:v>
      </x:c>
      <x:c r="C225" s="125"/>
      <x:c r="D225" s="125" t="s">
        <x:v>1046</x:v>
      </x:c>
      <x:c r="E225" s="159">
        <x:v>54</x:v>
      </x:c>
      <x:c r="F225" s="25" t="s">
        <x:v>1041</x:v>
      </x:c>
      <x:c r="G225" s="25" t="s">
        <x:v>617</x:v>
      </x:c>
      <x:c r="H225" s="143">
        <x:v>46458</x:v>
      </x:c>
      <x:c r="I225" s="125">
        <x:v>10.33</x:v>
      </x:c>
      <x:c r="J225" s="125">
        <x:v>46143</x:v>
      </x:c>
      <x:c r="K225" s="25" t="s">
        <x:v>1020</x:v>
      </x:c>
      <x:c r="L225" s="125"/>
      <x:c r="M225" s="125"/>
    </x:row>
    <x:row r="226" spans="1:13" ht="22.050000000000001">
      <x:c r="A226" s="30" t="s">
        <x:v>724</x:v>
      </x:c>
      <x:c r="B226" s="30" t="s">
        <x:v>571</x:v>
      </x:c>
      <x:c r="C226" s="123"/>
      <x:c r="D226" s="123" t="s">
        <x:v>550</x:v>
      </x:c>
      <x:c r="E226" s="157">
        <x:v>195</x:v>
      </x:c>
      <x:c r="F226" s="30" t="s">
        <x:v>63</x:v>
      </x:c>
      <x:c r="G226" s="30" t="s">
        <x:v>666</x:v>
      </x:c>
      <x:c r="H226" s="141">
        <x:v>46749</x:v>
      </x:c>
      <x:c r="I226" s="123">
        <x:v>14.460000000000001</x:v>
      </x:c>
      <x:c r="J226" s="127"/>
      <x:c r="K226" s="37"/>
      <x:c r="L226" s="125"/>
      <x:c r="M226" s="125"/>
    </x:row>
    <x:row r="227" spans="1:13" ht="22.050000000000001">
      <x:c r="A227" s="31" t="s">
        <x:v>724</x:v>
      </x:c>
      <x:c r="B227" s="31" t="s">
        <x:v>571</x:v>
      </x:c>
      <x:c r="C227" s="124"/>
      <x:c r="D227" s="124" t="s">
        <x:v>550</x:v>
      </x:c>
      <x:c r="E227" s="158">
        <x:v>100</x:v>
      </x:c>
      <x:c r="F227" s="31" t="s">
        <x:v>63</x:v>
      </x:c>
      <x:c r="G227" s="31" t="s">
        <x:v>617</x:v>
      </x:c>
      <x:c r="H227" s="142">
        <x:v>46749</x:v>
      </x:c>
      <x:c r="I227" s="124">
        <x:v>14.460000000000001</x:v>
      </x:c>
      <x:c r="J227" s="125"/>
      <x:c r="K227" s="32"/>
      <x:c r="L227" s="125"/>
      <x:c r="M227" s="125"/>
    </x:row>
    <x:row r="228" spans="1:13" ht="22.050000000000001">
      <x:c r="A228" s="20" t="s">
        <x:v>724</x:v>
      </x:c>
      <x:c r="B228" s="20" t="s">
        <x:v>571</x:v>
      </x:c>
      <x:c r="C228" s="123"/>
      <x:c r="D228" s="123" t="s">
        <x:v>550</x:v>
      </x:c>
      <x:c r="E228" s="157">
        <x:v>11</x:v>
      </x:c>
      <x:c r="F228" s="20" t="s">
        <x:v>15</x:v>
      </x:c>
      <x:c r="G228" s="20" t="s">
        <x:v>617</x:v>
      </x:c>
      <x:c r="H228" s="141">
        <x:v>46793</x:v>
      </x:c>
      <x:c r="I228" s="123">
        <x:v>14.789999999999999</x:v>
      </x:c>
      <x:c r="J228" s="127"/>
      <x:c r="K228" s="22"/>
      <x:c r="L228" s="127"/>
      <x:c r="M228" s="127"/>
    </x:row>
    <x:row r="229" spans="1:13" ht="22.050000000000001">
      <x:c r="A229" s="23" t="s">
        <x:v>724</x:v>
      </x:c>
      <x:c r="B229" s="23" t="s">
        <x:v>571</x:v>
      </x:c>
      <x:c r="C229" s="124"/>
      <x:c r="D229" s="124" t="s">
        <x:v>550</x:v>
      </x:c>
      <x:c r="E229" s="158">
        <x:v>226</x:v>
      </x:c>
      <x:c r="F229" s="23" t="s">
        <x:v>28</x:v>
      </x:c>
      <x:c r="G229" s="23" t="s">
        <x:v>679</x:v>
      </x:c>
      <x:c r="H229" s="142">
        <x:v>46820</x:v>
      </x:c>
      <x:c r="I229" s="124">
        <x:v>14.300000000000001</x:v>
      </x:c>
      <x:c r="J229" s="125"/>
      <x:c r="K229" s="25"/>
      <x:c r="L229" s="127"/>
      <x:c r="M229" s="127"/>
    </x:row>
    <x:row r="230" spans="1:13" ht="22.050000000000001">
      <x:c r="A230" s="20" t="s">
        <x:v>724</x:v>
      </x:c>
      <x:c r="B230" s="20" t="s">
        <x:v>1037</x:v>
      </x:c>
      <x:c r="C230" s="123"/>
      <x:c r="D230" s="123" t="s">
        <x:v>352</x:v>
      </x:c>
      <x:c r="E230" s="157">
        <x:v>80</x:v>
      </x:c>
      <x:c r="F230" s="20" t="s">
        <x:v>942</x:v>
      </x:c>
      <x:c r="G230" s="20" t="s">
        <x:v>617</x:v>
      </x:c>
      <x:c r="H230" s="141">
        <x:v>46547</x:v>
      </x:c>
      <x:c r="I230" s="123">
        <x:v>11.1</x:v>
      </x:c>
      <x:c r="J230" s="127" t="s">
        <x:v>659</x:v>
      </x:c>
      <x:c r="K230" s="22"/>
      <x:c r="L230" s="127"/>
      <x:c r="M230" s="127"/>
    </x:row>
    <x:row r="231" spans="1:13" ht="22.050000000000001">
      <x:c r="A231" s="31" t="s">
        <x:v>724</x:v>
      </x:c>
      <x:c r="B231" s="31" t="s">
        <x:v>1037</x:v>
      </x:c>
      <x:c r="C231" s="124"/>
      <x:c r="D231" s="124" t="s">
        <x:v>612</x:v>
      </x:c>
      <x:c r="E231" s="158">
        <x:v>55</x:v>
      </x:c>
      <x:c r="F231" s="31" t="s">
        <x:v>47</x:v>
      </x:c>
      <x:c r="G231" s="31" t="s">
        <x:v>617</x:v>
      </x:c>
      <x:c r="H231" s="142">
        <x:v>46703</x:v>
      </x:c>
      <x:c r="I231" s="124">
        <x:v>13.210000000000001</x:v>
      </x:c>
      <x:c r="J231" s="125"/>
      <x:c r="K231" s="25"/>
      <x:c r="L231" s="127"/>
      <x:c r="M231" s="127"/>
    </x:row>
    <x:row r="232" spans="1:13" ht="22.050000000000001">
      <x:c r="A232" s="22" t="s">
        <x:v>724</x:v>
      </x:c>
      <x:c r="B232" s="22" t="s">
        <x:v>1037</x:v>
      </x:c>
      <x:c r="C232" s="127"/>
      <x:c r="D232" s="127" t="s">
        <x:v>612</x:v>
      </x:c>
      <x:c r="E232" s="160">
        <x:v>0</x:v>
      </x:c>
      <x:c r="F232" s="22" t="s">
        <x:v>920</x:v>
      </x:c>
      <x:c r="G232" s="22" t="s">
        <x:v>652</x:v>
      </x:c>
      <x:c r="H232" s="144">
        <x:v>46709</x:v>
      </x:c>
      <x:c r="I232" s="127">
        <x:v>13.6</x:v>
      </x:c>
      <x:c r="J232" s="127">
        <x:v>46135</x:v>
      </x:c>
      <x:c r="K232" s="22" t="s">
        <x:v>335</x:v>
      </x:c>
      <x:c r="L232" s="125"/>
      <x:c r="M232" s="125"/>
    </x:row>
    <x:row r="233" spans="1:13" ht="22.050000000000001">
      <x:c r="A233" s="23" t="s">
        <x:v>724</x:v>
      </x:c>
      <x:c r="B233" s="23" t="s">
        <x:v>1037</x:v>
      </x:c>
      <x:c r="C233" s="124"/>
      <x:c r="D233" s="124" t="s">
        <x:v>612</x:v>
      </x:c>
      <x:c r="E233" s="158">
        <x:v>100</x:v>
      </x:c>
      <x:c r="F233" s="23" t="s">
        <x:v>920</x:v>
      </x:c>
      <x:c r="G233" s="23" t="s">
        <x:v>652</x:v>
      </x:c>
      <x:c r="H233" s="142">
        <x:v>46709</x:v>
      </x:c>
      <x:c r="I233" s="124">
        <x:v>13.6</x:v>
      </x:c>
      <x:c r="J233" s="125"/>
      <x:c r="K233" s="25"/>
      <x:c r="L233" s="125"/>
      <x:c r="M233" s="125"/>
    </x:row>
    <x:row r="234" spans="1:13" ht="22.050000000000001">
      <x:c r="A234" s="20" t="s">
        <x:v>724</x:v>
      </x:c>
      <x:c r="B234" s="20" t="s">
        <x:v>1037</x:v>
      </x:c>
      <x:c r="C234" s="123"/>
      <x:c r="D234" s="123" t="s">
        <x:v>612</x:v>
      </x:c>
      <x:c r="E234" s="157">
        <x:v>200</x:v>
      </x:c>
      <x:c r="F234" s="20" t="s">
        <x:v>920</x:v>
      </x:c>
      <x:c r="G234" s="20" t="s">
        <x:v>652</x:v>
      </x:c>
      <x:c r="H234" s="141">
        <x:v>46709</x:v>
      </x:c>
      <x:c r="I234" s="123">
        <x:v>13.6</x:v>
      </x:c>
      <x:c r="J234" s="127"/>
      <x:c r="K234" s="22"/>
      <x:c r="L234" s="127"/>
      <x:c r="M234" s="127"/>
    </x:row>
    <x:row r="235" spans="1:13" ht="22.050000000000001">
      <x:c r="A235" s="23" t="s">
        <x:v>696</x:v>
      </x:c>
      <x:c r="B235" s="23" t="s">
        <x:v>288</x:v>
      </x:c>
      <x:c r="C235" s="124"/>
      <x:c r="D235" s="124">
        <x:v>60224</x:v>
      </x:c>
      <x:c r="E235" s="158">
        <x:v>0</x:v>
      </x:c>
      <x:c r="F235" s="23" t="s">
        <x:v>1054</x:v>
      </x:c>
      <x:c r="G235" s="23" t="s">
        <x:v>617</x:v>
      </x:c>
      <x:c r="H235" s="142">
        <x:v>46722</x:v>
      </x:c>
      <x:c r="I235" s="124">
        <x:v>19.079999999999998</x:v>
      </x:c>
      <x:c r="J235" s="125"/>
      <x:c r="K235" s="25"/>
      <x:c r="L235" s="127"/>
      <x:c r="M235" s="127"/>
    </x:row>
    <x:row r="236" spans="1:13" ht="22.050000000000001">
      <x:c r="A236" s="20" t="s">
        <x:v>696</x:v>
      </x:c>
      <x:c r="B236" s="20" t="s">
        <x:v>288</x:v>
      </x:c>
      <x:c r="C236" s="123"/>
      <x:c r="D236" s="123">
        <x:v>60224</x:v>
      </x:c>
      <x:c r="E236" s="157">
        <x:v>39</x:v>
      </x:c>
      <x:c r="F236" s="20" t="s">
        <x:v>1054</x:v>
      </x:c>
      <x:c r="G236" s="20" t="s">
        <x:v>617</x:v>
      </x:c>
      <x:c r="H236" s="141">
        <x:v>46722</x:v>
      </x:c>
      <x:c r="I236" s="123">
        <x:v>19.129999999999999</x:v>
      </x:c>
      <x:c r="J236" s="127"/>
      <x:c r="K236" s="22"/>
      <x:c r="L236" s="127"/>
      <x:c r="M236" s="127"/>
    </x:row>
    <x:row r="237" spans="1:13" ht="22.050000000000001">
      <x:c r="A237" s="23" t="s">
        <x:v>696</x:v>
      </x:c>
      <x:c r="B237" s="23" t="s">
        <x:v>603</x:v>
      </x:c>
      <x:c r="C237" s="124"/>
      <x:c r="D237" s="124">
        <x:v>20202</x:v>
      </x:c>
      <x:c r="E237" s="158">
        <x:v>77</x:v>
      </x:c>
      <x:c r="F237" s="23" t="s">
        <x:v>921</x:v>
      </x:c>
      <x:c r="G237" s="23" t="s">
        <x:v>617</x:v>
      </x:c>
      <x:c r="H237" s="142">
        <x:v>46693</x:v>
      </x:c>
      <x:c r="I237" s="124">
        <x:v>9.8800000000000008</x:v>
      </x:c>
      <x:c r="J237" s="125"/>
      <x:c r="K237" s="25"/>
      <x:c r="L237" s="127"/>
      <x:c r="M237" s="127"/>
    </x:row>
    <x:row r="238" spans="1:13" ht="22.050000000000001">
      <x:c r="A238" s="22" t="s">
        <x:v>696</x:v>
      </x:c>
      <x:c r="B238" s="22" t="s">
        <x:v>603</x:v>
      </x:c>
      <x:c r="C238" s="127"/>
      <x:c r="D238" s="127">
        <x:v>20202</x:v>
      </x:c>
      <x:c r="E238" s="160">
        <x:v>20</x:v>
      </x:c>
      <x:c r="F238" s="22" t="s">
        <x:v>921</x:v>
      </x:c>
      <x:c r="G238" s="22" t="s">
        <x:v>617</x:v>
      </x:c>
      <x:c r="H238" s="144">
        <x:v>46693</x:v>
      </x:c>
      <x:c r="I238" s="127">
        <x:v>9.8800000000000008</x:v>
      </x:c>
      <x:c r="J238" s="127">
        <x:v>46136</x:v>
      </x:c>
      <x:c r="K238" s="22" t="s">
        <x:v>610</x:v>
      </x:c>
      <x:c r="L238" s="125"/>
      <x:c r="M238" s="125"/>
    </x:row>
    <x:row r="239" spans="1:13" ht="22.050000000000001">
      <x:c r="A239" s="23" t="s">
        <x:v>696</x:v>
      </x:c>
      <x:c r="B239" s="23" t="s">
        <x:v>603</x:v>
      </x:c>
      <x:c r="C239" s="124"/>
      <x:c r="D239" s="124">
        <x:v>20202</x:v>
      </x:c>
      <x:c r="E239" s="158">
        <x:v>153</x:v>
      </x:c>
      <x:c r="F239" s="23" t="s">
        <x:v>921</x:v>
      </x:c>
      <x:c r="G239" s="23" t="s">
        <x:v>290</x:v>
      </x:c>
      <x:c r="H239" s="142">
        <x:v>46693</x:v>
      </x:c>
      <x:c r="I239" s="124">
        <x:v>9.8800000000000008</x:v>
      </x:c>
      <x:c r="J239" s="125"/>
      <x:c r="K239" s="25"/>
      <x:c r="L239" s="127"/>
      <x:c r="M239" s="127"/>
    </x:row>
    <x:row r="240" spans="1:13" ht="22.050000000000001">
      <x:c r="A240" s="22" t="s">
        <x:v>723</x:v>
      </x:c>
      <x:c r="B240" s="22" t="s">
        <x:v>372</x:v>
      </x:c>
      <x:c r="C240" s="127"/>
      <x:c r="D240" s="127">
        <x:v>17564</x:v>
      </x:c>
      <x:c r="E240" s="160">
        <x:v>40</x:v>
      </x:c>
      <x:c r="F240" s="34" t="s">
        <x:v>1066</x:v>
      </x:c>
      <x:c r="G240" s="22" t="s">
        <x:v>617</x:v>
      </x:c>
      <x:c r="H240" s="144">
        <x:v>46722</x:v>
      </x:c>
      <x:c r="I240" s="127">
        <x:v>19.859999999999999</x:v>
      </x:c>
      <x:c r="J240" s="127"/>
      <x:c r="K240" s="22" t="s">
        <x:v>321</x:v>
      </x:c>
      <x:c r="L240" s="127"/>
      <x:c r="M240" s="127"/>
    </x:row>
    <x:row r="241" spans="1:13" ht="22.050000000000001">
      <x:c r="A241" s="41" t="s">
        <x:v>582</x:v>
      </x:c>
      <x:c r="B241" s="41" t="s">
        <x:v>571</x:v>
      </x:c>
      <x:c r="C241" s="131"/>
      <x:c r="D241" s="131" t="s">
        <x:v>550</x:v>
      </x:c>
      <x:c r="E241" s="163">
        <x:v>28</x:v>
      </x:c>
      <x:c r="F241" s="41" t="s">
        <x:v>22</x:v>
      </x:c>
      <x:c r="G241" s="41" t="s">
        <x:v>628</x:v>
      </x:c>
      <x:c r="H241" s="147">
        <x:v>46498</x:v>
      </x:c>
      <x:c r="I241" s="131">
        <x:v>16.38357143</x:v>
      </x:c>
      <x:c r="J241" s="131"/>
      <x:c r="K241" s="25" t="s">
        <x:v>914</x:v>
      </x:c>
      <x:c r="L241" s="127" t="b">
        <x:v>1</x:v>
      </x:c>
      <x:c r="M241" s="128"/>
    </x:row>
    <x:row r="242" spans="1:13" ht="22.050000000000001">
      <x:c r="A242" s="38" t="s">
        <x:v>296</x:v>
      </x:c>
      <x:c r="B242" s="38" t="s">
        <x:v>714</x:v>
      </x:c>
      <x:c r="C242" s="128" t="s">
        <x:v>730</x:v>
      </x:c>
      <x:c r="D242" s="128">
        <x:v>249</x:v>
      </x:c>
      <x:c r="E242" s="161">
        <x:v>64</x:v>
      </x:c>
      <x:c r="F242" s="38" t="s">
        <x:v>923</x:v>
      </x:c>
      <x:c r="G242" s="38" t="s">
        <x:v>617</x:v>
      </x:c>
      <x:c r="H242" s="145">
        <x:v>46409</x:v>
      </x:c>
      <x:c r="I242" s="128">
        <x:v>16.760000000000002</x:v>
      </x:c>
      <x:c r="J242" s="127"/>
      <x:c r="K242" s="22"/>
      <x:c r="L242" s="127" t="b">
        <x:v>1</x:v>
      </x:c>
      <x:c r="M242" s="127"/>
    </x:row>
    <x:row r="243" spans="1:13" ht="22.050000000000001">
      <x:c r="A243" s="41" t="s">
        <x:v>296</x:v>
      </x:c>
      <x:c r="B243" s="41" t="s">
        <x:v>714</x:v>
      </x:c>
      <x:c r="C243" s="131" t="s">
        <x:v>730</x:v>
      </x:c>
      <x:c r="D243" s="131">
        <x:v>249</x:v>
      </x:c>
      <x:c r="E243" s="163">
        <x:v>186</x:v>
      </x:c>
      <x:c r="F243" s="41" t="s">
        <x:v>923</x:v>
      </x:c>
      <x:c r="G243" s="41" t="s">
        <x:v>664</x:v>
      </x:c>
      <x:c r="H243" s="147">
        <x:v>46409</x:v>
      </x:c>
      <x:c r="I243" s="131">
        <x:v>16.760000000000002</x:v>
      </x:c>
      <x:c r="J243" s="125"/>
      <x:c r="K243" s="25"/>
      <x:c r="L243" s="127" t="b">
        <x:v>1</x:v>
      </x:c>
      <x:c r="M243" s="127"/>
    </x:row>
    <x:row r="244" spans="1:13" ht="22.050000000000001">
      <x:c r="A244" s="38" t="s">
        <x:v>329</x:v>
      </x:c>
      <x:c r="B244" s="38" t="s">
        <x:v>343</x:v>
      </x:c>
      <x:c r="C244" s="128"/>
      <x:c r="D244" s="128">
        <x:v>126</x:v>
      </x:c>
      <x:c r="E244" s="161">
        <x:v>16</x:v>
      </x:c>
      <x:c r="F244" s="38" t="s">
        <x:v>154</x:v>
      </x:c>
      <x:c r="G244" s="38" t="s">
        <x:v>617</x:v>
      </x:c>
      <x:c r="H244" s="145">
        <x:v>46443</x:v>
      </x:c>
      <x:c r="I244" s="128">
        <x:v>19.963333330000001</x:v>
      </x:c>
      <x:c r="J244" s="127"/>
      <x:c r="K244" s="22"/>
      <x:c r="L244" s="127" t="b">
        <x:v>1</x:v>
      </x:c>
      <x:c r="M244" s="127"/>
    </x:row>
    <x:row r="245" spans="1:13" ht="22.050000000000001">
      <x:c r="A245" s="41" t="s">
        <x:v>551</x:v>
      </x:c>
      <x:c r="B245" s="41" t="s">
        <x:v>573</x:v>
      </x:c>
      <x:c r="C245" s="131" t="s">
        <x:v>631</x:v>
      </x:c>
      <x:c r="D245" s="131">
        <x:v>969</x:v>
      </x:c>
      <x:c r="E245" s="163">
        <x:v>1</x:v>
      </x:c>
      <x:c r="F245" s="41" t="s">
        <x:v>119</x:v>
      </x:c>
      <x:c r="G245" s="41" t="s">
        <x:v>617</x:v>
      </x:c>
      <x:c r="H245" s="147">
        <x:v>46357</x:v>
      </x:c>
      <x:c r="I245" s="131">
        <x:v>27.850000000000001</x:v>
      </x:c>
      <x:c r="J245" s="169"/>
      <x:c r="K245" s="25"/>
      <x:c r="L245" s="127" t="b">
        <x:v>1</x:v>
      </x:c>
      <x:c r="M245" s="169"/>
    </x:row>
    <x:row r="246" spans="1:13" ht="22.050000000000001">
      <x:c r="A246" s="38" t="s">
        <x:v>551</x:v>
      </x:c>
      <x:c r="B246" s="38" t="s">
        <x:v>573</x:v>
      </x:c>
      <x:c r="C246" s="128" t="s">
        <x:v>631</x:v>
      </x:c>
      <x:c r="D246" s="128">
        <x:v>969</x:v>
      </x:c>
      <x:c r="E246" s="161">
        <x:v>3</x:v>
      </x:c>
      <x:c r="F246" s="38" t="s">
        <x:v>52</x:v>
      </x:c>
      <x:c r="G246" s="38" t="s">
        <x:v>617</x:v>
      </x:c>
      <x:c r="H246" s="145">
        <x:v>46357</x:v>
      </x:c>
      <x:c r="I246" s="128">
        <x:v>26</x:v>
      </x:c>
      <x:c r="J246" s="189"/>
      <x:c r="K246" s="22"/>
      <x:c r="L246" s="127" t="b">
        <x:v>1</x:v>
      </x:c>
      <x:c r="M246" s="169"/>
    </x:row>
    <x:row r="247" spans="1:13" ht="22.050000000000001">
      <x:c r="A247" s="41" t="s">
        <x:v>551</x:v>
      </x:c>
      <x:c r="B247" s="41" t="s">
        <x:v>573</x:v>
      </x:c>
      <x:c r="C247" s="131" t="s">
        <x:v>631</x:v>
      </x:c>
      <x:c r="D247" s="131">
        <x:v>969</x:v>
      </x:c>
      <x:c r="E247" s="163">
        <x:v>14</x:v>
      </x:c>
      <x:c r="F247" s="41" t="s">
        <x:v>149</x:v>
      </x:c>
      <x:c r="G247" s="41" t="s">
        <x:v>617</x:v>
      </x:c>
      <x:c r="H247" s="147">
        <x:v>46444</x:v>
      </x:c>
      <x:c r="I247" s="131">
        <x:v>28</x:v>
      </x:c>
      <x:c r="J247" s="125"/>
      <x:c r="K247" s="25"/>
      <x:c r="L247" s="127" t="b">
        <x:v>1</x:v>
      </x:c>
      <x:c r="M247" s="127"/>
    </x:row>
    <x:row r="248" spans="1:13" ht="22.050000000000001">
      <x:c r="A248" s="38" t="s">
        <x:v>551</x:v>
      </x:c>
      <x:c r="B248" s="38" t="s">
        <x:v>573</x:v>
      </x:c>
      <x:c r="C248" s="128" t="s">
        <x:v>631</x:v>
      </x:c>
      <x:c r="D248" s="128" t="s">
        <x:v>685</x:v>
      </x:c>
      <x:c r="E248" s="161">
        <x:v>21</x:v>
      </x:c>
      <x:c r="F248" s="38" t="s">
        <x:v>11</x:v>
      </x:c>
      <x:c r="G248" s="38" t="s">
        <x:v>617</x:v>
      </x:c>
      <x:c r="H248" s="145">
        <x:v>46444</x:v>
      </x:c>
      <x:c r="I248" s="128">
        <x:v>28.100000000000001</x:v>
      </x:c>
      <x:c r="J248" s="127"/>
      <x:c r="K248" s="22"/>
      <x:c r="L248" s="127" t="b">
        <x:v>1</x:v>
      </x:c>
      <x:c r="M248" s="127"/>
    </x:row>
    <x:row r="249" spans="1:13" ht="22.050000000000001">
      <x:c r="A249" s="41" t="s">
        <x:v>551</x:v>
      </x:c>
      <x:c r="B249" s="41" t="s">
        <x:v>573</x:v>
      </x:c>
      <x:c r="C249" s="131" t="s">
        <x:v>631</x:v>
      </x:c>
      <x:c r="D249" s="131">
        <x:v>969</x:v>
      </x:c>
      <x:c r="E249" s="163">
        <x:v>55</x:v>
      </x:c>
      <x:c r="F249" s="41" t="s">
        <x:v>10</x:v>
      </x:c>
      <x:c r="G249" s="41" t="s">
        <x:v>617</x:v>
      </x:c>
      <x:c r="H249" s="147">
        <x:v>46451</x:v>
      </x:c>
      <x:c r="I249" s="131">
        <x:v>27.050000000000001</x:v>
      </x:c>
      <x:c r="J249" s="169"/>
      <x:c r="K249" s="25"/>
      <x:c r="L249" s="127" t="b">
        <x:v>1</x:v>
      </x:c>
      <x:c r="M249" s="169"/>
    </x:row>
    <x:row r="250" spans="1:13" ht="22.050000000000001">
      <x:c r="A250" s="38" t="s">
        <x:v>551</x:v>
      </x:c>
      <x:c r="B250" s="38" t="s">
        <x:v>573</x:v>
      </x:c>
      <x:c r="C250" s="128" t="s">
        <x:v>631</x:v>
      </x:c>
      <x:c r="D250" s="128">
        <x:v>969</x:v>
      </x:c>
      <x:c r="E250" s="161">
        <x:v>45</x:v>
      </x:c>
      <x:c r="F250" s="38" t="s">
        <x:v>53</x:v>
      </x:c>
      <x:c r="G250" s="38" t="s">
        <x:v>617</x:v>
      </x:c>
      <x:c r="H250" s="145">
        <x:v>46457</x:v>
      </x:c>
      <x:c r="I250" s="128">
        <x:v>29.100000000000001</x:v>
      </x:c>
      <x:c r="J250" s="127"/>
      <x:c r="K250" s="39"/>
      <x:c r="L250" s="127" t="b">
        <x:v>1</x:v>
      </x:c>
      <x:c r="M250" s="127"/>
    </x:row>
    <x:row r="251" spans="1:13" ht="22.050000000000001">
      <x:c r="A251" s="41" t="s">
        <x:v>551</x:v>
      </x:c>
      <x:c r="B251" s="41" t="s">
        <x:v>573</x:v>
      </x:c>
      <x:c r="C251" s="131" t="s">
        <x:v>631</x:v>
      </x:c>
      <x:c r="D251" s="131">
        <x:v>969</x:v>
      </x:c>
      <x:c r="E251" s="163">
        <x:v>2</x:v>
      </x:c>
      <x:c r="F251" s="41" t="s">
        <x:v>159</x:v>
      </x:c>
      <x:c r="G251" s="41" t="s">
        <x:v>617</x:v>
      </x:c>
      <x:c r="H251" s="147">
        <x:v>46465</x:v>
      </x:c>
      <x:c r="I251" s="131">
        <x:v>29</x:v>
      </x:c>
      <x:c r="J251" s="125"/>
      <x:c r="K251" s="25"/>
      <x:c r="L251" s="127" t="b">
        <x:v>1</x:v>
      </x:c>
      <x:c r="M251" s="127"/>
    </x:row>
    <x:row r="252" spans="1:13" ht="22.050000000000001">
      <x:c r="A252" s="38" t="s">
        <x:v>551</x:v>
      </x:c>
      <x:c r="B252" s="38" t="s">
        <x:v>573</x:v>
      </x:c>
      <x:c r="C252" s="128" t="s">
        <x:v>631</x:v>
      </x:c>
      <x:c r="D252" s="128" t="s">
        <x:v>685</x:v>
      </x:c>
      <x:c r="E252" s="161">
        <x:v>23</x:v>
      </x:c>
      <x:c r="F252" s="38" t="s">
        <x:v>30</x:v>
      </x:c>
      <x:c r="G252" s="38" t="s">
        <x:v>617</x:v>
      </x:c>
      <x:c r="H252" s="145">
        <x:v>46479</x:v>
      </x:c>
      <x:c r="I252" s="128">
        <x:v>28</x:v>
      </x:c>
      <x:c r="J252" s="127"/>
      <x:c r="K252" s="22"/>
      <x:c r="L252" s="127" t="b">
        <x:v>1</x:v>
      </x:c>
      <x:c r="M252" s="125"/>
    </x:row>
    <x:row r="253" spans="1:13" ht="22.050000000000001">
      <x:c r="A253" s="41" t="s">
        <x:v>551</x:v>
      </x:c>
      <x:c r="B253" s="41" t="s">
        <x:v>573</x:v>
      </x:c>
      <x:c r="C253" s="131" t="s">
        <x:v>631</x:v>
      </x:c>
      <x:c r="D253" s="131">
        <x:v>969</x:v>
      </x:c>
      <x:c r="E253" s="163">
        <x:v>52</x:v>
      </x:c>
      <x:c r="F253" s="41" t="s">
        <x:v>142</x:v>
      </x:c>
      <x:c r="G253" s="41" t="s">
        <x:v>617</x:v>
      </x:c>
      <x:c r="H253" s="147">
        <x:v>46479</x:v>
      </x:c>
      <x:c r="I253" s="131">
        <x:v>28.789999999999999</x:v>
      </x:c>
      <x:c r="J253" s="125"/>
      <x:c r="K253" s="25"/>
      <x:c r="L253" s="127" t="b">
        <x:v>1</x:v>
      </x:c>
      <x:c r="M253" s="127"/>
    </x:row>
    <x:row r="254" spans="1:13" ht="22.050000000000001">
      <x:c r="A254" s="38" t="s">
        <x:v>551</x:v>
      </x:c>
      <x:c r="B254" s="38" t="s">
        <x:v>573</x:v>
      </x:c>
      <x:c r="C254" s="128" t="s">
        <x:v>631</x:v>
      </x:c>
      <x:c r="D254" s="128">
        <x:v>969</x:v>
      </x:c>
      <x:c r="E254" s="161">
        <x:v>52</x:v>
      </x:c>
      <x:c r="F254" s="38" t="s">
        <x:v>19</x:v>
      </x:c>
      <x:c r="G254" s="38" t="s">
        <x:v>617</x:v>
      </x:c>
      <x:c r="H254" s="145">
        <x:v>46493</x:v>
      </x:c>
      <x:c r="I254" s="128">
        <x:v>28.969999999999999</x:v>
      </x:c>
      <x:c r="J254" s="127"/>
      <x:c r="K254" s="22"/>
      <x:c r="L254" s="127" t="b">
        <x:v>1</x:v>
      </x:c>
      <x:c r="M254" s="127"/>
    </x:row>
    <x:row r="255" spans="1:13" ht="22.050000000000001">
      <x:c r="A255" s="41" t="s">
        <x:v>551</x:v>
      </x:c>
      <x:c r="B255" s="41" t="s">
        <x:v>573</x:v>
      </x:c>
      <x:c r="C255" s="131" t="s">
        <x:v>631</x:v>
      </x:c>
      <x:c r="D255" s="131" t="s">
        <x:v>685</x:v>
      </x:c>
      <x:c r="E255" s="163">
        <x:v>60</x:v>
      </x:c>
      <x:c r="F255" s="41" t="s">
        <x:v>120</x:v>
      </x:c>
      <x:c r="G255" s="41" t="s">
        <x:v>617</x:v>
      </x:c>
      <x:c r="H255" s="147">
        <x:v>46493</x:v>
      </x:c>
      <x:c r="I255" s="131">
        <x:v>27.260000000000002</x:v>
      </x:c>
      <x:c r="J255" s="125"/>
      <x:c r="K255" s="25"/>
      <x:c r="L255" s="127" t="b">
        <x:v>1</x:v>
      </x:c>
      <x:c r="M255" s="127"/>
    </x:row>
    <x:row r="256" spans="1:13" ht="22.050000000000001">
      <x:c r="A256" s="20" t="s">
        <x:v>591</x:v>
      </x:c>
      <x:c r="B256" s="20" t="s">
        <x:v>311</x:v>
      </x:c>
      <x:c r="C256" s="123" t="s">
        <x:v>692</x:v>
      </x:c>
      <x:c r="D256" s="123">
        <x:v>294</x:v>
      </x:c>
      <x:c r="E256" s="157">
        <x:v>9</x:v>
      </x:c>
      <x:c r="F256" s="20" t="s">
        <x:v>904</x:v>
      </x:c>
      <x:c r="G256" s="20" t="s">
        <x:v>617</x:v>
      </x:c>
      <x:c r="H256" s="141">
        <x:v>46192</x:v>
      </x:c>
      <x:c r="I256" s="123">
        <x:v>14.859999999999999</x:v>
      </x:c>
      <x:c r="J256" s="127"/>
      <x:c r="K256" s="22"/>
      <x:c r="L256" s="127"/>
      <x:c r="M256" s="127"/>
    </x:row>
    <x:row r="257" spans="1:13" ht="22.050000000000001">
      <x:c r="A257" s="23" t="s">
        <x:v>591</x:v>
      </x:c>
      <x:c r="B257" s="23" t="s">
        <x:v>311</x:v>
      </x:c>
      <x:c r="C257" s="124" t="s">
        <x:v>692</x:v>
      </x:c>
      <x:c r="D257" s="124">
        <x:v>294</x:v>
      </x:c>
      <x:c r="E257" s="158">
        <x:v>44</x:v>
      </x:c>
      <x:c r="F257" s="23" t="s">
        <x:v>904</x:v>
      </x:c>
      <x:c r="G257" s="23" t="s">
        <x:v>309</x:v>
      </x:c>
      <x:c r="H257" s="142">
        <x:v>46192</x:v>
      </x:c>
      <x:c r="I257" s="124">
        <x:v>14.859999999999999</x:v>
      </x:c>
      <x:c r="J257" s="125"/>
      <x:c r="K257" s="25"/>
      <x:c r="L257" s="127"/>
      <x:c r="M257" s="127"/>
    </x:row>
    <x:row r="258" spans="1:13" ht="22.050000000000001">
      <x:c r="A258" s="20" t="s">
        <x:v>591</x:v>
      </x:c>
      <x:c r="B258" s="20" t="s">
        <x:v>311</x:v>
      </x:c>
      <x:c r="C258" s="123" t="s">
        <x:v>692</x:v>
      </x:c>
      <x:c r="D258" s="123">
        <x:v>294</x:v>
      </x:c>
      <x:c r="E258" s="157">
        <x:v>50</x:v>
      </x:c>
      <x:c r="F258" s="20" t="s">
        <x:v>904</x:v>
      </x:c>
      <x:c r="G258" s="20" t="s">
        <x:v>617</x:v>
      </x:c>
      <x:c r="H258" s="141">
        <x:v>46192</x:v>
      </x:c>
      <x:c r="I258" s="123">
        <x:v>14.859999999999999</x:v>
      </x:c>
      <x:c r="J258" s="127"/>
      <x:c r="K258" s="22"/>
      <x:c r="L258" s="127"/>
      <x:c r="M258" s="127"/>
    </x:row>
    <x:row r="259" spans="1:13" ht="22.050000000000001">
      <x:c r="A259" s="23" t="s">
        <x:v>648</x:v>
      </x:c>
      <x:c r="B259" s="31" t="s">
        <x:v>341</x:v>
      </x:c>
      <x:c r="C259" s="124"/>
      <x:c r="D259" s="124">
        <x:v>10.208740000000001</x:v>
      </x:c>
      <x:c r="E259" s="158">
        <x:v>31</x:v>
      </x:c>
      <x:c r="F259" s="23" t="s">
        <x:v>919</x:v>
      </x:c>
      <x:c r="G259" s="23" t="s">
        <x:v>617</x:v>
      </x:c>
      <x:c r="H259" s="142">
        <x:v>46692</x:v>
      </x:c>
      <x:c r="I259" s="124">
        <x:v>10.9</x:v>
      </x:c>
      <x:c r="J259" s="125"/>
      <x:c r="K259" s="25"/>
      <x:c r="L259" s="127"/>
      <x:c r="M259" s="127"/>
    </x:row>
    <x:row r="260" spans="1:13" ht="22.050000000000001">
      <x:c r="A260" s="20" t="s">
        <x:v>648</x:v>
      </x:c>
      <x:c r="B260" s="20" t="s">
        <x:v>603</x:v>
      </x:c>
      <x:c r="C260" s="123"/>
      <x:c r="D260" s="123">
        <x:v>20202</x:v>
      </x:c>
      <x:c r="E260" s="157">
        <x:v>387</x:v>
      </x:c>
      <x:c r="F260" s="20">
        <x:v>1071893633</x:v>
      </x:c>
      <x:c r="G260" s="20" t="s">
        <x:v>617</x:v>
      </x:c>
      <x:c r="H260" s="141">
        <x:v>46733</x:v>
      </x:c>
      <x:c r="I260" s="123">
        <x:v>10.210000000000001</x:v>
      </x:c>
      <x:c r="J260" s="127"/>
      <x:c r="K260" s="22"/>
      <x:c r="L260" s="127"/>
      <x:c r="M260" s="127"/>
    </x:row>
    <x:row r="261" spans="1:13" ht="22.050000000000001">
      <x:c r="A261" s="25" t="s">
        <x:v>701</x:v>
      </x:c>
      <x:c r="B261" s="25" t="s">
        <x:v>707</x:v>
      </x:c>
      <x:c r="C261" s="125" t="s">
        <x:v>692</x:v>
      </x:c>
      <x:c r="D261" s="125">
        <x:v>87</x:v>
      </x:c>
      <x:c r="E261" s="159">
        <x:v>60</x:v>
      </x:c>
      <x:c r="F261" s="25" t="s">
        <x:v>71</x:v>
      </x:c>
      <x:c r="G261" s="25" t="s">
        <x:v>694</x:v>
      </x:c>
      <x:c r="H261" s="143">
        <x:v>46525</x:v>
      </x:c>
      <x:c r="I261" s="125">
        <x:v>18.059999999999999</x:v>
      </x:c>
      <x:c r="J261" s="125"/>
      <x:c r="K261" s="25" t="s">
        <x:v>375</x:v>
      </x:c>
      <x:c r="L261" s="127"/>
      <x:c r="M261" s="127"/>
    </x:row>
    <x:row r="262" spans="1:13" ht="22.050000000000001">
      <x:c r="A262" s="22" t="s">
        <x:v>701</x:v>
      </x:c>
      <x:c r="B262" s="22" t="s">
        <x:v>307</x:v>
      </x:c>
      <x:c r="C262" s="127" t="s">
        <x:v>667</x:v>
      </x:c>
      <x:c r="D262" s="127">
        <x:v>80</x:v>
      </x:c>
      <x:c r="E262" s="160">
        <x:v>8</x:v>
      </x:c>
      <x:c r="F262" s="22" t="s">
        <x:v>151</x:v>
      </x:c>
      <x:c r="G262" s="22" t="s">
        <x:v>642</x:v>
      </x:c>
      <x:c r="H262" s="144">
        <x:v>46689</x:v>
      </x:c>
      <x:c r="I262" s="127">
        <x:v>16.199999999999999</x:v>
      </x:c>
      <x:c r="J262" s="127"/>
      <x:c r="K262" s="22" t="s">
        <x:v>324</x:v>
      </x:c>
      <x:c r="L262" s="127"/>
      <x:c r="M262" s="127"/>
    </x:row>
    <x:row r="263" spans="1:13" ht="22.050000000000001">
      <x:c r="A263" s="25" t="s">
        <x:v>701</x:v>
      </x:c>
      <x:c r="B263" s="25" t="s">
        <x:v>307</x:v>
      </x:c>
      <x:c r="C263" s="125" t="s">
        <x:v>667</x:v>
      </x:c>
      <x:c r="D263" s="125">
        <x:v>80</x:v>
      </x:c>
      <x:c r="E263" s="159">
        <x:v>17</x:v>
      </x:c>
      <x:c r="F263" s="25" t="s">
        <x:v>96</x:v>
      </x:c>
      <x:c r="G263" s="25" t="s">
        <x:v>662</x:v>
      </x:c>
      <x:c r="H263" s="143">
        <x:v>46693</x:v>
      </x:c>
      <x:c r="I263" s="125">
        <x:v>16.600000000000001</x:v>
      </x:c>
      <x:c r="J263" s="125"/>
      <x:c r="K263" s="25" t="s">
        <x:v>324</x:v>
      </x:c>
      <x:c r="L263" s="127"/>
      <x:c r="M263" s="127"/>
    </x:row>
    <x:row r="264" spans="1:13" ht="22.050000000000001">
      <x:c r="A264" s="22" t="s">
        <x:v>701</x:v>
      </x:c>
      <x:c r="B264" s="22" t="s">
        <x:v>307</x:v>
      </x:c>
      <x:c r="C264" s="127" t="s">
        <x:v>667</x:v>
      </x:c>
      <x:c r="D264" s="127">
        <x:v>80</x:v>
      </x:c>
      <x:c r="E264" s="160">
        <x:v>130</x:v>
      </x:c>
      <x:c r="F264" s="22" t="s">
        <x:v>96</x:v>
      </x:c>
      <x:c r="G264" s="22" t="s">
        <x:v>662</x:v>
      </x:c>
      <x:c r="H264" s="144">
        <x:v>46693</x:v>
      </x:c>
      <x:c r="I264" s="127">
        <x:v>16.600000000000001</x:v>
      </x:c>
      <x:c r="J264" s="127"/>
      <x:c r="K264" s="22" t="s">
        <x:v>324</x:v>
      </x:c>
      <x:c r="L264" s="127"/>
      <x:c r="M264" s="127"/>
    </x:row>
    <x:row r="265" spans="1:13" ht="22.050000000000001">
      <x:c r="A265" s="31" t="s">
        <x:v>701</x:v>
      </x:c>
      <x:c r="B265" s="31" t="s">
        <x:v>307</x:v>
      </x:c>
      <x:c r="C265" s="124" t="s">
        <x:v>730</x:v>
      </x:c>
      <x:c r="D265" s="124">
        <x:v>80</x:v>
      </x:c>
      <x:c r="E265" s="158">
        <x:v>9</x:v>
      </x:c>
      <x:c r="F265" s="31" t="s">
        <x:v>151</x:v>
      </x:c>
      <x:c r="G265" s="31" t="s">
        <x:v>642</x:v>
      </x:c>
      <x:c r="H265" s="142">
        <x:v>46703</x:v>
      </x:c>
      <x:c r="I265" s="124">
        <x:v>16.27</x:v>
      </x:c>
      <x:c r="J265" s="125"/>
      <x:c r="K265" s="25"/>
      <x:c r="L265" s="125"/>
      <x:c r="M265" s="125"/>
    </x:row>
    <x:row r="266" spans="1:13" ht="22.050000000000001">
      <x:c r="A266" s="22" t="s">
        <x:v>701</x:v>
      </x:c>
      <x:c r="B266" s="22" t="s">
        <x:v>311</x:v>
      </x:c>
      <x:c r="C266" s="127" t="s">
        <x:v>692</x:v>
      </x:c>
      <x:c r="D266" s="127">
        <x:v>294</x:v>
      </x:c>
      <x:c r="E266" s="160">
        <x:v>20</x:v>
      </x:c>
      <x:c r="F266" s="22" t="s">
        <x:v>140</x:v>
      </x:c>
      <x:c r="G266" s="22" t="s">
        <x:v>674</x:v>
      </x:c>
      <x:c r="H266" s="144">
        <x:v>46696</x:v>
      </x:c>
      <x:c r="I266" s="127">
        <x:v>20.260000000000002</x:v>
      </x:c>
      <x:c r="J266" s="127"/>
      <x:c r="K266" s="22" t="s">
        <x:v>901</x:v>
      </x:c>
      <x:c r="L266" s="127"/>
      <x:c r="M266" s="127"/>
    </x:row>
    <x:row r="267" spans="1:13" ht="22.050000000000001">
      <x:c r="A267" s="23" t="s">
        <x:v>701</x:v>
      </x:c>
      <x:c r="B267" s="23" t="s">
        <x:v>311</x:v>
      </x:c>
      <x:c r="C267" s="124" t="s">
        <x:v>692</x:v>
      </x:c>
      <x:c r="D267" s="124">
        <x:v>294</x:v>
      </x:c>
      <x:c r="E267" s="158">
        <x:v>14</x:v>
      </x:c>
      <x:c r="F267" s="23" t="s">
        <x:v>84</x:v>
      </x:c>
      <x:c r="G267" s="23" t="s">
        <x:v>617</x:v>
      </x:c>
      <x:c r="H267" s="142">
        <x:v>46766</x:v>
      </x:c>
      <x:c r="I267" s="124">
        <x:v>20.559999999999999</x:v>
      </x:c>
      <x:c r="J267" s="125"/>
      <x:c r="K267" s="25" t="s">
        <x:v>155</x:v>
      </x:c>
      <x:c r="L267" s="127"/>
      <x:c r="M267" s="127"/>
    </x:row>
    <x:row r="268" spans="1:13" ht="22.050000000000001">
      <x:c r="A268" s="20" t="s">
        <x:v>733</x:v>
      </x:c>
      <x:c r="B268" s="20" t="s">
        <x:v>678</x:v>
      </x:c>
      <x:c r="C268" s="123" t="s">
        <x:v>669</x:v>
      </x:c>
      <x:c r="D268" s="123">
        <x:v>244</x:v>
      </x:c>
      <x:c r="E268" s="157">
        <x:v>53</x:v>
      </x:c>
      <x:c r="F268" s="20" t="s">
        <x:v>870</x:v>
      </x:c>
      <x:c r="G268" s="20" t="s">
        <x:v>652</x:v>
      </x:c>
      <x:c r="H268" s="141">
        <x:v>46404</x:v>
      </x:c>
      <x:c r="I268" s="123">
        <x:v>17.309999999999999</x:v>
      </x:c>
      <x:c r="J268" s="127"/>
      <x:c r="K268" s="22"/>
      <x:c r="L268" s="127"/>
      <x:c r="M268" s="127"/>
    </x:row>
    <x:row r="269" spans="1:13" ht="22.050000000000001">
      <x:c r="A269" s="31" t="s">
        <x:v>733</x:v>
      </x:c>
      <x:c r="B269" s="31" t="s">
        <x:v>678</x:v>
      </x:c>
      <x:c r="C269" s="124" t="s">
        <x:v>669</x:v>
      </x:c>
      <x:c r="D269" s="124">
        <x:v>244</x:v>
      </x:c>
      <x:c r="E269" s="158">
        <x:v>40</x:v>
      </x:c>
      <x:c r="F269" s="31" t="s">
        <x:v>900</x:v>
      </x:c>
      <x:c r="G269" s="31" t="s">
        <x:v>664</x:v>
      </x:c>
      <x:c r="H269" s="142">
        <x:v>46432</x:v>
      </x:c>
      <x:c r="I269" s="124">
        <x:v>17.25</x:v>
      </x:c>
      <x:c r="J269" s="125"/>
      <x:c r="K269" s="25"/>
      <x:c r="L269" s="127"/>
      <x:c r="M269" s="127"/>
    </x:row>
    <x:row r="270" spans="1:13" ht="22.050000000000001">
      <x:c r="A270" s="20" t="s">
        <x:v>733</x:v>
      </x:c>
      <x:c r="B270" s="20" t="s">
        <x:v>678</x:v>
      </x:c>
      <x:c r="C270" s="123" t="s">
        <x:v>669</x:v>
      </x:c>
      <x:c r="D270" s="123" t="s">
        <x:v>317</x:v>
      </x:c>
      <x:c r="E270" s="157">
        <x:v>721</x:v>
      </x:c>
      <x:c r="F270" s="20" t="s">
        <x:v>1052</x:v>
      </x:c>
      <x:c r="G270" s="20" t="s">
        <x:v>639</x:v>
      </x:c>
      <x:c r="H270" s="141">
        <x:v>46647</x:v>
      </x:c>
      <x:c r="I270" s="123">
        <x:v>16.91</x:v>
      </x:c>
      <x:c r="J270" s="127"/>
      <x:c r="K270" s="22"/>
      <x:c r="L270" s="127"/>
      <x:c r="M270" s="127"/>
    </x:row>
    <x:row r="271" spans="1:13" ht="22.050000000000001">
      <x:c r="A271" s="23" t="s">
        <x:v>733</x:v>
      </x:c>
      <x:c r="B271" s="23" t="s">
        <x:v>678</x:v>
      </x:c>
      <x:c r="C271" s="124" t="s">
        <x:v>669</x:v>
      </x:c>
      <x:c r="D271" s="124" t="s">
        <x:v>410</x:v>
      </x:c>
      <x:c r="E271" s="158">
        <x:v>50</x:v>
      </x:c>
      <x:c r="F271" s="23" t="s">
        <x:v>125</x:v>
      </x:c>
      <x:c r="G271" s="23" t="s">
        <x:v>652</x:v>
      </x:c>
      <x:c r="H271" s="142">
        <x:v>46668</x:v>
      </x:c>
      <x:c r="I271" s="124">
        <x:v>16.140000000000001</x:v>
      </x:c>
      <x:c r="J271" s="125"/>
      <x:c r="K271" s="25"/>
      <x:c r="L271" s="127"/>
      <x:c r="M271" s="127"/>
    </x:row>
    <x:row r="272" spans="1:13" ht="22.050000000000001">
      <x:c r="A272" s="22" t="s">
        <x:v>733</x:v>
      </x:c>
      <x:c r="B272" s="22" t="s">
        <x:v>678</x:v>
      </x:c>
      <x:c r="C272" s="127" t="s">
        <x:v>669</x:v>
      </x:c>
      <x:c r="D272" s="127" t="s">
        <x:v>410</x:v>
      </x:c>
      <x:c r="E272" s="160">
        <x:v>311</x:v>
      </x:c>
      <x:c r="F272" s="22" t="s">
        <x:v>125</x:v>
      </x:c>
      <x:c r="G272" s="22" t="s">
        <x:v>652</x:v>
      </x:c>
      <x:c r="H272" s="144">
        <x:v>46668</x:v>
      </x:c>
      <x:c r="I272" s="127">
        <x:v>16.140000000000001</x:v>
      </x:c>
      <x:c r="J272" s="127"/>
      <x:c r="K272" s="22" t="s">
        <x:v>1075</x:v>
      </x:c>
      <x:c r="L272" s="127"/>
      <x:c r="M272" s="127"/>
    </x:row>
    <x:row r="273" spans="1:13" ht="22.050000000000001">
      <x:c r="A273" s="23" t="s">
        <x:v>733</x:v>
      </x:c>
      <x:c r="B273" s="23" t="s">
        <x:v>355</x:v>
      </x:c>
      <x:c r="C273" s="124"/>
      <x:c r="D273" s="124"/>
      <x:c r="E273" s="158">
        <x:v>5</x:v>
      </x:c>
      <x:c r="F273" s="23" t="s">
        <x:v>1050</x:v>
      </x:c>
      <x:c r="G273" s="23" t="s">
        <x:v>639</x:v>
      </x:c>
      <x:c r="H273" s="142">
        <x:v>46695</x:v>
      </x:c>
      <x:c r="I273" s="124">
        <x:v>17.75</x:v>
      </x:c>
      <x:c r="J273" s="125"/>
      <x:c r="K273" s="25"/>
      <x:c r="L273" s="127"/>
      <x:c r="M273" s="127"/>
    </x:row>
    <x:row r="274" spans="1:13" ht="22.050000000000001">
      <x:c r="A274" s="22" t="s">
        <x:v>733</x:v>
      </x:c>
      <x:c r="B274" s="22" t="s">
        <x:v>355</x:v>
      </x:c>
      <x:c r="C274" s="127"/>
      <x:c r="D274" s="127"/>
      <x:c r="E274" s="160">
        <x:v>15</x:v>
      </x:c>
      <x:c r="F274" s="22" t="s">
        <x:v>1050</x:v>
      </x:c>
      <x:c r="G274" s="22" t="s">
        <x:v>639</x:v>
      </x:c>
      <x:c r="H274" s="144">
        <x:v>46695</x:v>
      </x:c>
      <x:c r="I274" s="127">
        <x:v>17.75</x:v>
      </x:c>
      <x:c r="J274" s="127"/>
      <x:c r="K274" s="22" t="s">
        <x:v>732</x:v>
      </x:c>
      <x:c r="L274" s="127"/>
      <x:c r="M274" s="127"/>
    </x:row>
    <x:row r="275" spans="1:13" ht="22.050000000000001">
      <x:c r="A275" s="31" t="s">
        <x:v>733</x:v>
      </x:c>
      <x:c r="B275" s="31" t="s">
        <x:v>355</x:v>
      </x:c>
      <x:c r="C275" s="124"/>
      <x:c r="D275" s="124"/>
      <x:c r="E275" s="158">
        <x:v>765</x:v>
      </x:c>
      <x:c r="F275" s="31" t="s">
        <x:v>100</x:v>
      </x:c>
      <x:c r="G275" s="31" t="s">
        <x:v>639</x:v>
      </x:c>
      <x:c r="H275" s="142">
        <x:v>46772</x:v>
      </x:c>
      <x:c r="I275" s="124">
        <x:v>16.989999999999998</x:v>
      </x:c>
      <x:c r="J275" s="125"/>
      <x:c r="K275" s="32"/>
      <x:c r="L275" s="125"/>
      <x:c r="M275" s="125"/>
    </x:row>
    <x:row r="276" spans="1:13" ht="22.050000000000001">
      <x:c r="A276" s="22" t="s">
        <x:v>733</x:v>
      </x:c>
      <x:c r="B276" s="22" t="s">
        <x:v>1037</x:v>
      </x:c>
      <x:c r="C276" s="123"/>
      <x:c r="D276" s="127">
        <x:v>717</x:v>
      </x:c>
      <x:c r="E276" s="160">
        <x:v>176</x:v>
      </x:c>
      <x:c r="F276" s="22" t="s">
        <x:v>128</x:v>
      </x:c>
      <x:c r="G276" s="22" t="s">
        <x:v>639</x:v>
      </x:c>
      <x:c r="H276" s="144">
        <x:v>46654</x:v>
      </x:c>
      <x:c r="I276" s="127">
        <x:v>16.329999999999998</x:v>
      </x:c>
      <x:c r="J276" s="127" t="s">
        <x:v>292</x:v>
      </x:c>
      <x:c r="K276" s="22" t="s">
        <x:v>1042</x:v>
      </x:c>
      <x:c r="L276" s="127"/>
      <x:c r="M276" s="127"/>
    </x:row>
    <x:row r="277" spans="1:13" ht="22.050000000000001">
      <x:c r="A277" s="25" t="s">
        <x:v>733</x:v>
      </x:c>
      <x:c r="B277" s="25" t="s">
        <x:v>1037</x:v>
      </x:c>
      <x:c r="C277" s="124"/>
      <x:c r="D277" s="125">
        <x:v>413</x:v>
      </x:c>
      <x:c r="E277" s="159">
        <x:v>12</x:v>
      </x:c>
      <x:c r="F277" s="25" t="s">
        <x:v>908</x:v>
      </x:c>
      <x:c r="G277" s="25" t="s">
        <x:v>639</x:v>
      </x:c>
      <x:c r="H277" s="143">
        <x:v>46684</x:v>
      </x:c>
      <x:c r="I277" s="125">
        <x:v>16.899999999999999</x:v>
      </x:c>
      <x:c r="J277" s="125"/>
      <x:c r="K277" s="25" t="s">
        <x:v>932</x:v>
      </x:c>
      <x:c r="L277" s="127"/>
      <x:c r="M277" s="127"/>
    </x:row>
    <x:row r="278" spans="1:13" ht="22.050000000000001">
      <x:c r="A278" s="20" t="s">
        <x:v>733</x:v>
      </x:c>
      <x:c r="B278" s="20" t="s">
        <x:v>1037</x:v>
      </x:c>
      <x:c r="C278" s="123"/>
      <x:c r="D278" s="123" t="s">
        <x:v>612</x:v>
      </x:c>
      <x:c r="E278" s="157">
        <x:v>139</x:v>
      </x:c>
      <x:c r="F278" s="20" t="s">
        <x:v>175</x:v>
      </x:c>
      <x:c r="G278" s="20" t="s">
        <x:v>617</x:v>
      </x:c>
      <x:c r="H278" s="141">
        <x:v>46702</x:v>
      </x:c>
      <x:c r="I278" s="123">
        <x:v>19.149999999999999</x:v>
      </x:c>
      <x:c r="J278" s="127"/>
      <x:c r="K278" s="22"/>
      <x:c r="L278" s="127"/>
      <x:c r="M278" s="127"/>
    </x:row>
    <x:row r="279" spans="1:13" ht="22.050000000000001">
      <x:c r="A279" s="23" t="s">
        <x:v>733</x:v>
      </x:c>
      <x:c r="B279" s="23" t="s">
        <x:v>1037</x:v>
      </x:c>
      <x:c r="C279" s="124"/>
      <x:c r="D279" s="124" t="s">
        <x:v>612</x:v>
      </x:c>
      <x:c r="E279" s="158">
        <x:v>512</x:v>
      </x:c>
      <x:c r="F279" s="23" t="s">
        <x:v>175</x:v>
      </x:c>
      <x:c r="G279" s="23" t="s">
        <x:v>349</x:v>
      </x:c>
      <x:c r="H279" s="142">
        <x:v>46702</x:v>
      </x:c>
      <x:c r="I279" s="124">
        <x:v>19.149999999999999</x:v>
      </x:c>
      <x:c r="J279" s="125"/>
      <x:c r="K279" s="25"/>
      <x:c r="L279" s="127"/>
      <x:c r="M279" s="127"/>
    </x:row>
    <x:row r="280" spans="1:13" ht="22.050000000000001">
      <x:c r="A280" s="20" t="s">
        <x:v>733</x:v>
      </x:c>
      <x:c r="B280" s="20" t="s">
        <x:v>1037</x:v>
      </x:c>
      <x:c r="C280" s="123"/>
      <x:c r="D280" s="123">
        <x:v>18079</x:v>
      </x:c>
      <x:c r="E280" s="157">
        <x:v>0</x:v>
      </x:c>
      <x:c r="F280" s="20" t="s">
        <x:v>927</x:v>
      </x:c>
      <x:c r="G280" s="20" t="s">
        <x:v>652</x:v>
      </x:c>
      <x:c r="H280" s="141">
        <x:v>46716</x:v>
      </x:c>
      <x:c r="I280" s="123">
        <x:v>16.84</x:v>
      </x:c>
      <x:c r="J280" s="127"/>
      <x:c r="K280" s="22"/>
      <x:c r="L280" s="127"/>
      <x:c r="M280" s="127"/>
    </x:row>
    <x:row r="281" spans="1:13" ht="22.050000000000001">
      <x:c r="A281" s="23" t="s">
        <x:v>733</x:v>
      </x:c>
      <x:c r="B281" s="23" t="s">
        <x:v>1037</x:v>
      </x:c>
      <x:c r="C281" s="124"/>
      <x:c r="D281" s="124">
        <x:v>18079</x:v>
      </x:c>
      <x:c r="E281" s="158">
        <x:v>120</x:v>
      </x:c>
      <x:c r="F281" s="23" t="s">
        <x:v>927</x:v>
      </x:c>
      <x:c r="G281" s="23" t="s">
        <x:v>652</x:v>
      </x:c>
      <x:c r="H281" s="142">
        <x:v>46716</x:v>
      </x:c>
      <x:c r="I281" s="124">
        <x:v>16.84</x:v>
      </x:c>
      <x:c r="J281" s="125"/>
      <x:c r="K281" s="25"/>
      <x:c r="L281" s="127"/>
      <x:c r="M281" s="127"/>
    </x:row>
    <x:row r="282" spans="1:13" ht="22.050000000000001">
      <x:c r="A282" s="22" t="s">
        <x:v>733</x:v>
      </x:c>
      <x:c r="B282" s="22" t="s">
        <x:v>1037</x:v>
      </x:c>
      <x:c r="C282" s="127"/>
      <x:c r="D282" s="127">
        <x:v>18079</x:v>
      </x:c>
      <x:c r="E282" s="160">
        <x:v>40</x:v>
      </x:c>
      <x:c r="F282" s="22" t="s">
        <x:v>927</x:v>
      </x:c>
      <x:c r="G282" s="22" t="s">
        <x:v>652</x:v>
      </x:c>
      <x:c r="H282" s="144">
        <x:v>46716</x:v>
      </x:c>
      <x:c r="I282" s="127">
        <x:v>16.84</x:v>
      </x:c>
      <x:c r="J282" s="127">
        <x:v>46136</x:v>
      </x:c>
      <x:c r="K282" s="22" t="s">
        <x:v>322</x:v>
      </x:c>
      <x:c r="L282" s="125"/>
      <x:c r="M282" s="125"/>
    </x:row>
    <x:row r="283" spans="1:13" ht="22.050000000000001">
      <x:c r="A283" s="23" t="s">
        <x:v>733</x:v>
      </x:c>
      <x:c r="B283" s="23" t="s">
        <x:v>1037</x:v>
      </x:c>
      <x:c r="C283" s="124"/>
      <x:c r="D283" s="124">
        <x:v>18079</x:v>
      </x:c>
      <x:c r="E283" s="158">
        <x:v>180</x:v>
      </x:c>
      <x:c r="F283" s="23" t="s">
        <x:v>927</x:v>
      </x:c>
      <x:c r="G283" s="23" t="s">
        <x:v>617</x:v>
      </x:c>
      <x:c r="H283" s="142">
        <x:v>46716</x:v>
      </x:c>
      <x:c r="I283" s="124">
        <x:v>16.84</x:v>
      </x:c>
      <x:c r="J283" s="125"/>
      <x:c r="K283" s="25"/>
      <x:c r="L283" s="127"/>
      <x:c r="M283" s="127"/>
    </x:row>
    <x:row r="284" spans="1:13" ht="22.050000000000001">
      <x:c r="A284" s="20" t="s">
        <x:v>733</x:v>
      </x:c>
      <x:c r="B284" s="20" t="s">
        <x:v>1037</x:v>
      </x:c>
      <x:c r="C284" s="123"/>
      <x:c r="D284" s="123" t="s">
        <x:v>612</x:v>
      </x:c>
      <x:c r="E284" s="157">
        <x:v>0</x:v>
      </x:c>
      <x:c r="F284" s="20" t="s">
        <x:v>936</x:v>
      </x:c>
      <x:c r="G284" s="20" t="s">
        <x:v>617</x:v>
      </x:c>
      <x:c r="H284" s="141">
        <x:v>47001</x:v>
      </x:c>
      <x:c r="I284" s="123">
        <x:v>18.949999999999999</x:v>
      </x:c>
      <x:c r="J284" s="127"/>
      <x:c r="K284" s="22"/>
      <x:c r="L284" s="127"/>
      <x:c r="M284" s="127"/>
    </x:row>
    <x:row r="285" spans="1:13" ht="22.050000000000001">
      <x:c r="A285" s="23" t="s">
        <x:v>733</x:v>
      </x:c>
      <x:c r="B285" s="23" t="s">
        <x:v>1037</x:v>
      </x:c>
      <x:c r="C285" s="124"/>
      <x:c r="D285" s="124" t="s">
        <x:v>612</x:v>
      </x:c>
      <x:c r="E285" s="158">
        <x:v>73</x:v>
      </x:c>
      <x:c r="F285" s="23" t="s">
        <x:v>936</x:v>
      </x:c>
      <x:c r="G285" s="23" t="s">
        <x:v>664</x:v>
      </x:c>
      <x:c r="H285" s="142">
        <x:v>47001</x:v>
      </x:c>
      <x:c r="I285" s="124">
        <x:v>18.949999999999999</x:v>
      </x:c>
      <x:c r="J285" s="125"/>
      <x:c r="K285" s="25"/>
      <x:c r="L285" s="127"/>
      <x:c r="M285" s="127"/>
    </x:row>
    <x:row r="286" spans="1:13" ht="22.050000000000001">
      <x:c r="A286" s="22" t="s">
        <x:v>733</x:v>
      </x:c>
      <x:c r="B286" s="22" t="s">
        <x:v>573</x:v>
      </x:c>
      <x:c r="C286" s="127" t="s">
        <x:v>700</x:v>
      </x:c>
      <x:c r="D286" s="127" t="s">
        <x:v>691</x:v>
      </x:c>
      <x:c r="E286" s="160">
        <x:v>5</x:v>
      </x:c>
      <x:c r="F286" s="22" t="s">
        <x:v>101</x:v>
      </x:c>
      <x:c r="G286" s="22" t="s">
        <x:v>617</x:v>
      </x:c>
      <x:c r="H286" s="144">
        <x:v>46340</x:v>
      </x:c>
      <x:c r="I286" s="127">
        <x:v>33.740000000000002</x:v>
      </x:c>
      <x:c r="J286" s="127"/>
      <x:c r="K286" s="22" t="s">
        <x:v>765</x:v>
      </x:c>
      <x:c r="L286" s="127"/>
      <x:c r="M286" s="127"/>
    </x:row>
    <x:row r="287" spans="1:13" ht="22.050000000000001">
      <x:c r="A287" s="31" t="s">
        <x:v>733</x:v>
      </x:c>
      <x:c r="B287" s="31" t="s">
        <x:v>573</x:v>
      </x:c>
      <x:c r="C287" s="124" t="s">
        <x:v>700</x:v>
      </x:c>
      <x:c r="D287" s="124" t="s">
        <x:v>691</x:v>
      </x:c>
      <x:c r="E287" s="158">
        <x:v>21</x:v>
      </x:c>
      <x:c r="F287" s="31" t="s">
        <x:v>101</x:v>
      </x:c>
      <x:c r="G287" s="31" t="s">
        <x:v>664</x:v>
      </x:c>
      <x:c r="H287" s="142">
        <x:v>46340</x:v>
      </x:c>
      <x:c r="I287" s="124">
        <x:v>33.740000000000002</x:v>
      </x:c>
      <x:c r="J287" s="124"/>
      <x:c r="K287" s="25"/>
      <x:c r="L287" s="123"/>
      <x:c r="M287" s="123"/>
    </x:row>
    <x:row r="288" spans="1:13" ht="22.050000000000001">
      <x:c r="A288" s="30" t="s">
        <x:v>733</x:v>
      </x:c>
      <x:c r="B288" s="30" t="s">
        <x:v>573</x:v>
      </x:c>
      <x:c r="C288" s="123" t="s">
        <x:v>700</x:v>
      </x:c>
      <x:c r="D288" s="123" t="s">
        <x:v>691</x:v>
      </x:c>
      <x:c r="E288" s="157">
        <x:v>25</x:v>
      </x:c>
      <x:c r="F288" s="30" t="s">
        <x:v>101</x:v>
      </x:c>
      <x:c r="G288" s="30" t="s">
        <x:v>617</x:v>
      </x:c>
      <x:c r="H288" s="141">
        <x:v>46340</x:v>
      </x:c>
      <x:c r="I288" s="123">
        <x:v>33.740000000000002</x:v>
      </x:c>
      <x:c r="J288" s="123"/>
      <x:c r="K288" s="22"/>
      <x:c r="L288" s="123"/>
      <x:c r="M288" s="123"/>
    </x:row>
    <x:row r="289" spans="1:13" ht="22.050000000000001">
      <x:c r="A289" s="23" t="s">
        <x:v>548</x:v>
      </x:c>
      <x:c r="B289" s="23" t="s">
        <x:v>362</x:v>
      </x:c>
      <x:c r="C289" s="124" t="s">
        <x:v>667</x:v>
      </x:c>
      <x:c r="D289" s="124">
        <x:v>640</x:v>
      </x:c>
      <x:c r="E289" s="158">
        <x:v>13</x:v>
      </x:c>
      <x:c r="F289" s="23" t="s">
        <x:v>34</x:v>
      </x:c>
      <x:c r="G289" s="23" t="s">
        <x:v>617</x:v>
      </x:c>
      <x:c r="H289" s="142">
        <x:v>46757</x:v>
      </x:c>
      <x:c r="I289" s="124">
        <x:v>21.59</x:v>
      </x:c>
      <x:c r="J289" s="125"/>
      <x:c r="K289" s="25"/>
      <x:c r="L289" s="127"/>
      <x:c r="M289" s="127"/>
    </x:row>
    <x:row r="290" spans="1:13" ht="22.050000000000001">
      <x:c r="A290" s="20" t="s">
        <x:v>548</x:v>
      </x:c>
      <x:c r="B290" s="30" t="s">
        <x:v>362</x:v>
      </x:c>
      <x:c r="C290" s="123" t="s">
        <x:v>667</x:v>
      </x:c>
      <x:c r="D290" s="123">
        <x:v>640</x:v>
      </x:c>
      <x:c r="E290" s="157">
        <x:v>152</x:v>
      </x:c>
      <x:c r="F290" s="20" t="s">
        <x:v>150</x:v>
      </x:c>
      <x:c r="G290" s="20" t="s">
        <x:v>290</x:v>
      </x:c>
      <x:c r="H290" s="141">
        <x:v>46757</x:v>
      </x:c>
      <x:c r="I290" s="123">
        <x:v>21.059999999999999</x:v>
      </x:c>
      <x:c r="J290" s="127"/>
      <x:c r="K290" s="22"/>
      <x:c r="L290" s="127"/>
      <x:c r="M290" s="127"/>
    </x:row>
    <x:row r="291" spans="1:13" ht="22.050000000000001">
      <x:c r="A291" s="23" t="s">
        <x:v>548</x:v>
      </x:c>
      <x:c r="B291" s="23" t="s">
        <x:v>362</x:v>
      </x:c>
      <x:c r="C291" s="124" t="s">
        <x:v>667</x:v>
      </x:c>
      <x:c r="D291" s="124">
        <x:v>640</x:v>
      </x:c>
      <x:c r="E291" s="158">
        <x:v>49</x:v>
      </x:c>
      <x:c r="F291" s="23" t="s">
        <x:v>915</x:v>
      </x:c>
      <x:c r="G291" s="23" t="s">
        <x:v>617</x:v>
      </x:c>
      <x:c r="H291" s="142">
        <x:v>46789</x:v>
      </x:c>
      <x:c r="I291" s="124">
        <x:v>21.82</x:v>
      </x:c>
      <x:c r="J291" s="125"/>
      <x:c r="K291" s="25"/>
      <x:c r="L291" s="127"/>
      <x:c r="M291" s="127"/>
    </x:row>
    <x:row r="292" spans="1:13" ht="22.050000000000001">
      <x:c r="A292" s="20" t="s">
        <x:v>548</x:v>
      </x:c>
      <x:c r="B292" s="30" t="s">
        <x:v>362</x:v>
      </x:c>
      <x:c r="C292" s="123" t="s">
        <x:v>667</x:v>
      </x:c>
      <x:c r="D292" s="123">
        <x:v>640</x:v>
      </x:c>
      <x:c r="E292" s="157">
        <x:v>202</x:v>
      </x:c>
      <x:c r="F292" s="20" t="s">
        <x:v>85</x:v>
      </x:c>
      <x:c r="G292" s="20" t="s">
        <x:v>290</x:v>
      </x:c>
      <x:c r="H292" s="141">
        <x:v>46794</x:v>
      </x:c>
      <x:c r="I292" s="123">
        <x:v>22.829999999999998</x:v>
      </x:c>
      <x:c r="J292" s="127"/>
      <x:c r="K292" s="22"/>
      <x:c r="L292" s="127"/>
      <x:c r="M292" s="127"/>
    </x:row>
    <x:row r="293" spans="1:13" ht="22.050000000000001">
      <x:c r="A293" s="23" t="s">
        <x:v>548</x:v>
      </x:c>
      <x:c r="B293" s="23" t="s">
        <x:v>311</x:v>
      </x:c>
      <x:c r="C293" s="124" t="s">
        <x:v>692</x:v>
      </x:c>
      <x:c r="D293" s="124">
        <x:v>7</x:v>
      </x:c>
      <x:c r="E293" s="158">
        <x:v>0</x:v>
      </x:c>
      <x:c r="F293" s="23" t="s">
        <x:v>108</x:v>
      </x:c>
      <x:c r="G293" s="23" t="s">
        <x:v>617</x:v>
      </x:c>
      <x:c r="H293" s="142">
        <x:v>46663</x:v>
      </x:c>
      <x:c r="I293" s="124">
        <x:v>18.350000000000001</x:v>
      </x:c>
      <x:c r="J293" s="125"/>
      <x:c r="K293" s="25"/>
      <x:c r="L293" s="127"/>
      <x:c r="M293" s="127"/>
    </x:row>
    <x:row r="294" spans="1:13" ht="22.050000000000001">
      <x:c r="A294" s="20" t="s">
        <x:v>646</x:v>
      </x:c>
      <x:c r="B294" s="20" t="s">
        <x:v>693</x:v>
      </x:c>
      <x:c r="C294" s="123" t="s">
        <x:v>667</x:v>
      </x:c>
      <x:c r="D294" s="123">
        <x:v>170</x:v>
      </x:c>
      <x:c r="E294" s="157">
        <x:v>2</x:v>
      </x:c>
      <x:c r="F294" s="20" t="s">
        <x:v>946</x:v>
      </x:c>
      <x:c r="G294" s="20" t="s">
        <x:v>617</x:v>
      </x:c>
      <x:c r="H294" s="141">
        <x:v>46393</x:v>
      </x:c>
      <x:c r="I294" s="123">
        <x:v>24.859999999999999</x:v>
      </x:c>
      <x:c r="J294" s="127"/>
      <x:c r="K294" s="22"/>
      <x:c r="L294" s="127"/>
      <x:c r="M294" s="127"/>
    </x:row>
    <x:row r="295" spans="1:13" ht="22.050000000000001">
      <x:c r="A295" s="23" t="s">
        <x:v>646</x:v>
      </x:c>
      <x:c r="B295" s="23" t="s">
        <x:v>533</x:v>
      </x:c>
      <x:c r="C295" s="124" t="s">
        <x:v>627</x:v>
      </x:c>
      <x:c r="D295" s="124" t="s">
        <x:v>625</x:v>
      </x:c>
      <x:c r="E295" s="158">
        <x:v>25</x:v>
      </x:c>
      <x:c r="F295" s="23" t="s">
        <x:v>106</x:v>
      </x:c>
      <x:c r="G295" s="23" t="s">
        <x:v>617</x:v>
      </x:c>
      <x:c r="H295" s="142">
        <x:v>46753</x:v>
      </x:c>
      <x:c r="I295" s="124">
        <x:v>20.93</x:v>
      </x:c>
      <x:c r="J295" s="125"/>
      <x:c r="K295" s="25"/>
      <x:c r="L295" s="127"/>
      <x:c r="M295" s="127"/>
    </x:row>
    <x:row r="296" spans="1:13" ht="22.050000000000001">
      <x:c r="A296" s="20" t="s">
        <x:v>646</x:v>
      </x:c>
      <x:c r="B296" s="20" t="s">
        <x:v>1014</x:v>
      </x:c>
      <x:c r="C296" s="123" t="s">
        <x:v>627</x:v>
      </x:c>
      <x:c r="D296" s="123">
        <x:v>562</x:v>
      </x:c>
      <x:c r="E296" s="157">
        <x:v>8</x:v>
      </x:c>
      <x:c r="F296" s="20" t="s">
        <x:v>954</x:v>
      </x:c>
      <x:c r="G296" s="20" t="s">
        <x:v>722</x:v>
      </x:c>
      <x:c r="H296" s="141">
        <x:v>46661</x:v>
      </x:c>
      <x:c r="I296" s="123">
        <x:v>20.460000000000001</x:v>
      </x:c>
      <x:c r="J296" s="127"/>
      <x:c r="K296" s="22"/>
      <x:c r="L296" s="127"/>
      <x:c r="M296" s="127"/>
    </x:row>
    <x:row r="297" spans="1:13" ht="22.050000000000001">
      <x:c r="A297" s="23" t="s">
        <x:v>646</x:v>
      </x:c>
      <x:c r="B297" s="23" t="s">
        <x:v>1014</x:v>
      </x:c>
      <x:c r="C297" s="124" t="s">
        <x:v>627</x:v>
      </x:c>
      <x:c r="D297" s="124">
        <x:v>267</x:v>
      </x:c>
      <x:c r="E297" s="158">
        <x:v>6</x:v>
      </x:c>
      <x:c r="F297" s="23" t="s">
        <x:v>1063</x:v>
      </x:c>
      <x:c r="G297" s="23" t="s">
        <x:v>722</x:v>
      </x:c>
      <x:c r="H297" s="142">
        <x:v>46707</x:v>
      </x:c>
      <x:c r="I297" s="124">
        <x:v>20.710000000000001</x:v>
      </x:c>
      <x:c r="J297" s="125"/>
      <x:c r="K297" s="25"/>
      <x:c r="L297" s="127"/>
      <x:c r="M297" s="127"/>
    </x:row>
    <x:row r="298" spans="1:13" ht="22.050000000000001">
      <x:c r="A298" s="22" t="s">
        <x:v>646</x:v>
      </x:c>
      <x:c r="B298" s="22" t="s">
        <x:v>1014</x:v>
      </x:c>
      <x:c r="C298" s="127" t="s">
        <x:v>627</x:v>
      </x:c>
      <x:c r="D298" s="127">
        <x:v>267</x:v>
      </x:c>
      <x:c r="E298" s="160">
        <x:v>30</x:v>
      </x:c>
      <x:c r="F298" s="22" t="s">
        <x:v>1063</x:v>
      </x:c>
      <x:c r="G298" s="22" t="s">
        <x:v>722</x:v>
      </x:c>
      <x:c r="H298" s="144">
        <x:v>46707</x:v>
      </x:c>
      <x:c r="I298" s="127">
        <x:v>20.710000000000001</x:v>
      </x:c>
      <x:c r="J298" s="127" t="s">
        <x:v>294</x:v>
      </x:c>
      <x:c r="K298" s="22" t="s">
        <x:v>948</x:v>
      </x:c>
      <x:c r="L298" s="127"/>
      <x:c r="M298" s="127"/>
    </x:row>
    <x:row r="299" spans="1:13" ht="22.050000000000001">
      <x:c r="A299" s="23" t="s">
        <x:v>646</x:v>
      </x:c>
      <x:c r="B299" s="23" t="s">
        <x:v>1014</x:v>
      </x:c>
      <x:c r="C299" s="124" t="s">
        <x:v>627</x:v>
      </x:c>
      <x:c r="D299" s="124" t="s">
        <x:v>596</x:v>
      </x:c>
      <x:c r="E299" s="158">
        <x:v>89</x:v>
      </x:c>
      <x:c r="F299" s="23" t="s">
        <x:v>1063</x:v>
      </x:c>
      <x:c r="G299" s="23" t="s">
        <x:v>722</x:v>
      </x:c>
      <x:c r="H299" s="142">
        <x:v>46709</x:v>
      </x:c>
      <x:c r="I299" s="124">
        <x:v>20.309999999999999</x:v>
      </x:c>
      <x:c r="J299" s="125"/>
      <x:c r="K299" s="25"/>
      <x:c r="L299" s="127"/>
      <x:c r="M299" s="127"/>
    </x:row>
    <x:row r="300" spans="1:13" ht="22.050000000000001">
      <x:c r="A300" s="20" t="s">
        <x:v>646</x:v>
      </x:c>
      <x:c r="B300" s="20" t="s">
        <x:v>1014</x:v>
      </x:c>
      <x:c r="C300" s="123" t="s">
        <x:v>627</x:v>
      </x:c>
      <x:c r="D300" s="123" t="s">
        <x:v>596</x:v>
      </x:c>
      <x:c r="E300" s="157">
        <x:v>108</x:v>
      </x:c>
      <x:c r="F300" s="20" t="s">
        <x:v>954</x:v>
      </x:c>
      <x:c r="G300" s="20" t="s">
        <x:v>722</x:v>
      </x:c>
      <x:c r="H300" s="141">
        <x:v>46718</x:v>
      </x:c>
      <x:c r="I300" s="123">
        <x:v>20.780000000000001</x:v>
      </x:c>
      <x:c r="J300" s="127"/>
      <x:c r="K300" s="22"/>
      <x:c r="L300" s="127"/>
      <x:c r="M300" s="127"/>
    </x:row>
    <x:row r="301" spans="1:13" ht="22.050000000000001">
      <x:c r="A301" s="23" t="s">
        <x:v>646</x:v>
      </x:c>
      <x:c r="B301" s="31" t="s">
        <x:v>573</x:v>
      </x:c>
      <x:c r="C301" s="124" t="s">
        <x:v>627</x:v>
      </x:c>
      <x:c r="D301" s="124">
        <x:v>969</x:v>
      </x:c>
      <x:c r="E301" s="158">
        <x:v>8</x:v>
      </x:c>
      <x:c r="F301" s="23" t="s">
        <x:v>110</x:v>
      </x:c>
      <x:c r="G301" s="23" t="s">
        <x:v>617</x:v>
      </x:c>
      <x:c r="H301" s="142">
        <x:v>46728</x:v>
      </x:c>
      <x:c r="I301" s="124">
        <x:v>38.100000000000001</x:v>
      </x:c>
      <x:c r="J301" s="125"/>
      <x:c r="K301" s="25"/>
      <x:c r="L301" s="127"/>
      <x:c r="M301" s="127"/>
    </x:row>
    <x:row r="302" spans="1:13" ht="22.050000000000001">
      <x:c r="A302" s="20" t="s">
        <x:v>646</x:v>
      </x:c>
      <x:c r="B302" s="30" t="s">
        <x:v>573</x:v>
      </x:c>
      <x:c r="C302" s="123" t="s">
        <x:v>627</x:v>
      </x:c>
      <x:c r="D302" s="123">
        <x:v>969</x:v>
      </x:c>
      <x:c r="E302" s="157">
        <x:v>10</x:v>
      </x:c>
      <x:c r="F302" s="20" t="s">
        <x:v>110</x:v>
      </x:c>
      <x:c r="G302" s="20" t="s">
        <x:v>564</x:v>
      </x:c>
      <x:c r="H302" s="141">
        <x:v>46728</x:v>
      </x:c>
      <x:c r="I302" s="123">
        <x:v>38.100000000000001</x:v>
      </x:c>
      <x:c r="J302" s="127"/>
      <x:c r="K302" s="22"/>
      <x:c r="L302" s="127"/>
      <x:c r="M302" s="127"/>
    </x:row>
    <x:row r="303" spans="1:13" ht="22.050000000000001">
      <x:c r="A303" s="25" t="s">
        <x:v>646</x:v>
      </x:c>
      <x:c r="B303" s="25" t="s">
        <x:v>573</x:v>
      </x:c>
      <x:c r="C303" s="125" t="s">
        <x:v>627</x:v>
      </x:c>
      <x:c r="D303" s="125">
        <x:v>969</x:v>
      </x:c>
      <x:c r="E303" s="159">
        <x:v>10</x:v>
      </x:c>
      <x:c r="F303" s="25" t="s">
        <x:v>110</x:v>
      </x:c>
      <x:c r="G303" s="25" t="s">
        <x:v>564</x:v>
      </x:c>
      <x:c r="H303" s="143">
        <x:v>46728</x:v>
      </x:c>
      <x:c r="I303" s="125">
        <x:v>38.100000000000001</x:v>
      </x:c>
      <x:c r="J303" s="125">
        <x:v>46136</x:v>
      </x:c>
      <x:c r="K303" s="25" t="s">
        <x:v>333</x:v>
      </x:c>
      <x:c r="L303" s="125"/>
      <x:c r="M303" s="125"/>
    </x:row>
    <x:row r="304" spans="1:13" ht="22.050000000000001">
      <x:c r="A304" s="20" t="s">
        <x:v>646</x:v>
      </x:c>
      <x:c r="B304" s="20" t="s">
        <x:v>573</x:v>
      </x:c>
      <x:c r="C304" s="123" t="s">
        <x:v>627</x:v>
      </x:c>
      <x:c r="D304" s="123">
        <x:v>969</x:v>
      </x:c>
      <x:c r="E304" s="157">
        <x:v>64</x:v>
      </x:c>
      <x:c r="F304" s="20" t="s">
        <x:v>935</x:v>
      </x:c>
      <x:c r="G304" s="20" t="s">
        <x:v>679</x:v>
      </x:c>
      <x:c r="H304" s="141">
        <x:v>46770</x:v>
      </x:c>
      <x:c r="I304" s="123">
        <x:v>37.590000000000003</x:v>
      </x:c>
      <x:c r="J304" s="127"/>
      <x:c r="K304" s="22"/>
      <x:c r="L304" s="127"/>
      <x:c r="M304" s="127"/>
    </x:row>
    <x:row r="305" spans="1:13" ht="22.050000000000001">
      <x:c r="A305" s="23" t="s">
        <x:v>646</x:v>
      </x:c>
      <x:c r="B305" s="23" t="s">
        <x:v>573</x:v>
      </x:c>
      <x:c r="C305" s="124" t="s">
        <x:v>627</x:v>
      </x:c>
      <x:c r="D305" s="124">
        <x:v>628</x:v>
      </x:c>
      <x:c r="E305" s="158">
        <x:v>100</x:v>
      </x:c>
      <x:c r="F305" s="23" t="s">
        <x:v>99</x:v>
      </x:c>
      <x:c r="G305" s="23" t="s">
        <x:v>290</x:v>
      </x:c>
      <x:c r="H305" s="142">
        <x:v>46785</x:v>
      </x:c>
      <x:c r="I305" s="124">
        <x:v>33.520000000000003</x:v>
      </x:c>
      <x:c r="J305" s="125"/>
      <x:c r="K305" s="25"/>
      <x:c r="L305" s="127"/>
      <x:c r="M305" s="127"/>
    </x:row>
    <x:row r="306" spans="1:13" ht="22.050000000000001">
      <x:c r="A306" s="20" t="s">
        <x:v>646</x:v>
      </x:c>
      <x:c r="B306" s="20" t="s">
        <x:v>573</x:v>
      </x:c>
      <x:c r="C306" s="123" t="s">
        <x:v>627</x:v>
      </x:c>
      <x:c r="D306" s="123">
        <x:v>969</x:v>
      </x:c>
      <x:c r="E306" s="157">
        <x:v>26</x:v>
      </x:c>
      <x:c r="F306" s="20" t="s">
        <x:v>99</x:v>
      </x:c>
      <x:c r="G306" s="20" t="s">
        <x:v>290</x:v>
      </x:c>
      <x:c r="H306" s="141">
        <x:v>46798</x:v>
      </x:c>
      <x:c r="I306" s="123">
        <x:v>38.25</x:v>
      </x:c>
      <x:c r="J306" s="127"/>
      <x:c r="K306" s="22"/>
      <x:c r="L306" s="127"/>
      <x:c r="M306" s="127"/>
    </x:row>
    <x:row r="307" spans="1:13" ht="22.050000000000001">
      <x:c r="A307" s="25" t="s">
        <x:v>771</x:v>
      </x:c>
      <x:c r="B307" s="25" t="s">
        <x:v>370</x:v>
      </x:c>
      <x:c r="C307" s="125" t="s">
        <x:v>636</x:v>
      </x:c>
      <x:c r="D307" s="125" t="s">
        <x:v>366</x:v>
      </x:c>
      <x:c r="E307" s="159">
        <x:v>75</x:v>
      </x:c>
      <x:c r="F307" s="25" t="s">
        <x:v>76</x:v>
      </x:c>
      <x:c r="G307" s="25" t="s">
        <x:v>754</x:v>
      </x:c>
      <x:c r="H307" s="143">
        <x:v>46674</x:v>
      </x:c>
      <x:c r="I307" s="125">
        <x:v>28.809999999999999</x:v>
      </x:c>
      <x:c r="J307" s="125"/>
      <x:c r="K307" s="25" t="s">
        <x:v>732</x:v>
      </x:c>
      <x:c r="L307" s="127"/>
      <x:c r="M307" s="127"/>
    </x:row>
    <x:row r="308" spans="1:13" ht="22.050000000000001">
      <x:c r="A308" s="22" t="s">
        <x:v>771</x:v>
      </x:c>
      <x:c r="B308" s="22" t="s">
        <x:v>370</x:v>
      </x:c>
      <x:c r="C308" s="127" t="s">
        <x:v>636</x:v>
      </x:c>
      <x:c r="D308" s="127" t="s">
        <x:v>366</x:v>
      </x:c>
      <x:c r="E308" s="160">
        <x:v>100</x:v>
      </x:c>
      <x:c r="F308" s="22" t="s">
        <x:v>39</x:v>
      </x:c>
      <x:c r="G308" s="22" t="s">
        <x:v>754</x:v>
      </x:c>
      <x:c r="H308" s="144">
        <x:v>46707</x:v>
      </x:c>
      <x:c r="I308" s="127">
        <x:v>29.02</x:v>
      </x:c>
      <x:c r="J308" s="127"/>
      <x:c r="K308" s="22" t="s">
        <x:v>732</x:v>
      </x:c>
      <x:c r="L308" s="127"/>
      <x:c r="M308" s="127"/>
    </x:row>
    <x:row r="309" spans="1:13" ht="22.050000000000001">
      <x:c r="A309" s="23" t="s">
        <x:v>524</x:v>
      </x:c>
      <x:c r="B309" s="23" t="s">
        <x:v>533</x:v>
      </x:c>
      <x:c r="C309" s="124" t="s">
        <x:v>626</x:v>
      </x:c>
      <x:c r="D309" s="124" t="s">
        <x:v>670</x:v>
      </x:c>
      <x:c r="E309" s="158">
        <x:v>5</x:v>
      </x:c>
      <x:c r="F309" s="23" t="s">
        <x:v>906</x:v>
      </x:c>
      <x:c r="G309" s="23" t="s">
        <x:v>617</x:v>
      </x:c>
      <x:c r="H309" s="142">
        <x:v>46470</x:v>
      </x:c>
      <x:c r="I309" s="124">
        <x:v>18.07</x:v>
      </x:c>
      <x:c r="J309" s="125"/>
      <x:c r="K309" s="25"/>
      <x:c r="L309" s="127"/>
      <x:c r="M309" s="127"/>
    </x:row>
    <x:row r="310" spans="1:13" ht="22.050000000000001">
      <x:c r="A310" s="20" t="s">
        <x:v>524</x:v>
      </x:c>
      <x:c r="B310" s="20" t="s">
        <x:v>533</x:v>
      </x:c>
      <x:c r="C310" s="123" t="s">
        <x:v>626</x:v>
      </x:c>
      <x:c r="D310" s="123" t="s">
        <x:v>670</x:v>
      </x:c>
      <x:c r="E310" s="157">
        <x:v>30</x:v>
      </x:c>
      <x:c r="F310" s="20" t="s">
        <x:v>75</x:v>
      </x:c>
      <x:c r="G310" s="20" t="s">
        <x:v>617</x:v>
      </x:c>
      <x:c r="H310" s="141">
        <x:v>46631</x:v>
      </x:c>
      <x:c r="I310" s="123">
        <x:v>17.93</x:v>
      </x:c>
      <x:c r="J310" s="127"/>
      <x:c r="K310" s="22"/>
      <x:c r="L310" s="127"/>
      <x:c r="M310" s="127"/>
    </x:row>
    <x:row r="311" spans="1:13" ht="22.050000000000001">
      <x:c r="A311" s="31" t="s">
        <x:v>524</x:v>
      </x:c>
      <x:c r="B311" s="31" t="s">
        <x:v>533</x:v>
      </x:c>
      <x:c r="C311" s="124" t="s">
        <x:v>626</x:v>
      </x:c>
      <x:c r="D311" s="124" t="s">
        <x:v>670</x:v>
      </x:c>
      <x:c r="E311" s="158">
        <x:v>65</x:v>
      </x:c>
      <x:c r="F311" s="31" t="s">
        <x:v>70</x:v>
      </x:c>
      <x:c r="G311" s="31" t="s">
        <x:v>620</x:v>
      </x:c>
      <x:c r="H311" s="142">
        <x:v>46723</x:v>
      </x:c>
      <x:c r="I311" s="124">
        <x:v>18.800000000000001</x:v>
      </x:c>
      <x:c r="J311" s="125"/>
      <x:c r="K311" s="25"/>
      <x:c r="L311" s="127"/>
      <x:c r="M311" s="127"/>
    </x:row>
    <x:row r="312" spans="1:13" ht="22.050000000000001">
      <x:c r="A312" s="22" t="s">
        <x:v>524</x:v>
      </x:c>
      <x:c r="B312" s="22" t="s">
        <x:v>533</x:v>
      </x:c>
      <x:c r="C312" s="127" t="s">
        <x:v>626</x:v>
      </x:c>
      <x:c r="D312" s="127" t="s">
        <x:v>670</x:v>
      </x:c>
      <x:c r="E312" s="160">
        <x:v>0</x:v>
      </x:c>
      <x:c r="F312" s="22" t="s">
        <x:v>938</x:v>
      </x:c>
      <x:c r="G312" s="22" t="s">
        <x:v>679</x:v>
      </x:c>
      <x:c r="H312" s="144">
        <x:v>46767</x:v>
      </x:c>
      <x:c r="I312" s="127">
        <x:v>19.199999999999999</x:v>
      </x:c>
      <x:c r="J312" s="127">
        <x:v>46135</x:v>
      </x:c>
      <x:c r="K312" s="22" t="s">
        <x:v>340</x:v>
      </x:c>
      <x:c r="L312" s="125"/>
      <x:c r="M312" s="125"/>
    </x:row>
    <x:row r="313" spans="1:13" ht="22.050000000000001">
      <x:c r="A313" s="23" t="s">
        <x:v>524</x:v>
      </x:c>
      <x:c r="B313" s="31" t="s">
        <x:v>533</x:v>
      </x:c>
      <x:c r="C313" s="124" t="s">
        <x:v>626</x:v>
      </x:c>
      <x:c r="D313" s="124" t="s">
        <x:v>670</x:v>
      </x:c>
      <x:c r="E313" s="158">
        <x:v>80</x:v>
      </x:c>
      <x:c r="F313" s="23" t="s">
        <x:v>938</x:v>
      </x:c>
      <x:c r="G313" s="23" t="s">
        <x:v>679</x:v>
      </x:c>
      <x:c r="H313" s="142">
        <x:v>46767</x:v>
      </x:c>
      <x:c r="I313" s="124">
        <x:v>19.199999999999999</x:v>
      </x:c>
      <x:c r="J313" s="125"/>
      <x:c r="K313" s="25"/>
      <x:c r="L313" s="127"/>
      <x:c r="M313" s="127"/>
    </x:row>
    <x:row r="314" spans="1:13" ht="22.050000000000001">
      <x:c r="A314" s="20" t="s">
        <x:v>524</x:v>
      </x:c>
      <x:c r="B314" s="20" t="s">
        <x:v>533</x:v>
      </x:c>
      <x:c r="C314" s="123" t="s">
        <x:v>626</x:v>
      </x:c>
      <x:c r="D314" s="123" t="s">
        <x:v>670</x:v>
      </x:c>
      <x:c r="E314" s="157">
        <x:v>190</x:v>
      </x:c>
      <x:c r="F314" s="20" t="s">
        <x:v>977</x:v>
      </x:c>
      <x:c r="G314" s="20" t="s">
        <x:v>617</x:v>
      </x:c>
      <x:c r="H314" s="141">
        <x:v>46777</x:v>
      </x:c>
      <x:c r="I314" s="123">
        <x:v>18.710000000000001</x:v>
      </x:c>
      <x:c r="J314" s="127"/>
      <x:c r="K314" s="22"/>
      <x:c r="L314" s="127"/>
      <x:c r="M314" s="127"/>
    </x:row>
    <x:row r="315" spans="1:13" ht="22.050000000000001">
      <x:c r="A315" s="23" t="s">
        <x:v>330</x:v>
      </x:c>
      <x:c r="B315" s="23" t="s">
        <x:v>362</x:v>
      </x:c>
      <x:c r="C315" s="124" t="s">
        <x:v>667</x:v>
      </x:c>
      <x:c r="D315" s="124">
        <x:v>640</x:v>
      </x:c>
      <x:c r="E315" s="158">
        <x:v>23</x:v>
      </x:c>
      <x:c r="F315" s="23" t="s">
        <x:v>945</x:v>
      </x:c>
      <x:c r="G315" s="23" t="s">
        <x:v>617</x:v>
      </x:c>
      <x:c r="H315" s="142">
        <x:v>46593</x:v>
      </x:c>
      <x:c r="I315" s="124">
        <x:v>20.300000000000001</x:v>
      </x:c>
      <x:c r="J315" s="125"/>
      <x:c r="K315" s="25"/>
      <x:c r="L315" s="127"/>
      <x:c r="M315" s="127"/>
    </x:row>
    <x:row r="316" spans="1:13" ht="22.050000000000001">
      <x:c r="A316" s="20" t="s">
        <x:v>330</x:v>
      </x:c>
      <x:c r="B316" s="20" t="s">
        <x:v>362</x:v>
      </x:c>
      <x:c r="C316" s="123" t="s">
        <x:v>667</x:v>
      </x:c>
      <x:c r="D316" s="123">
        <x:v>640</x:v>
      </x:c>
      <x:c r="E316" s="157">
        <x:v>148</x:v>
      </x:c>
      <x:c r="F316" s="20" t="s">
        <x:v>945</x:v>
      </x:c>
      <x:c r="G316" s="20" t="s">
        <x:v>747</x:v>
      </x:c>
      <x:c r="H316" s="141">
        <x:v>46593</x:v>
      </x:c>
      <x:c r="I316" s="123">
        <x:v>20.300000000000001</x:v>
      </x:c>
      <x:c r="J316" s="127"/>
      <x:c r="K316" s="22"/>
      <x:c r="L316" s="127"/>
      <x:c r="M316" s="127"/>
    </x:row>
    <x:row r="317" spans="1:13" ht="22.050000000000001">
      <x:c r="A317" s="23" t="s">
        <x:v>330</x:v>
      </x:c>
      <x:c r="B317" s="23" t="s">
        <x:v>362</x:v>
      </x:c>
      <x:c r="C317" s="124" t="s">
        <x:v>667</x:v>
      </x:c>
      <x:c r="D317" s="124">
        <x:v>1912</x:v>
      </x:c>
      <x:c r="E317" s="158">
        <x:v>177</x:v>
      </x:c>
      <x:c r="F317" s="23" t="s">
        <x:v>1071</x:v>
      </x:c>
      <x:c r="G317" s="23" t="s">
        <x:v>747</x:v>
      </x:c>
      <x:c r="H317" s="142">
        <x:v>46626</x:v>
      </x:c>
      <x:c r="I317" s="124">
        <x:v>13.82</x:v>
      </x:c>
      <x:c r="J317" s="125"/>
      <x:c r="K317" s="25"/>
      <x:c r="L317" s="127"/>
      <x:c r="M317" s="127"/>
    </x:row>
    <x:row r="318" spans="1:13" ht="22.050000000000001">
      <x:c r="A318" s="20" t="s">
        <x:v>330</x:v>
      </x:c>
      <x:c r="B318" s="20" t="s">
        <x:v>362</x:v>
      </x:c>
      <x:c r="C318" s="123" t="s">
        <x:v>667</x:v>
      </x:c>
      <x:c r="D318" s="123">
        <x:v>640</x:v>
      </x:c>
      <x:c r="E318" s="157">
        <x:v>42</x:v>
      </x:c>
      <x:c r="F318" s="20" t="s">
        <x:v>61</x:v>
      </x:c>
      <x:c r="G318" s="20" t="s">
        <x:v>617</x:v>
      </x:c>
      <x:c r="H318" s="141">
        <x:v>46635</x:v>
      </x:c>
      <x:c r="I318" s="123">
        <x:v>19.920000000000002</x:v>
      </x:c>
      <x:c r="J318" s="127"/>
      <x:c r="K318" s="22"/>
      <x:c r="L318" s="127"/>
      <x:c r="M318" s="127"/>
    </x:row>
    <x:row r="319" spans="1:13" ht="22.050000000000001">
      <x:c r="A319" s="23" t="s">
        <x:v>330</x:v>
      </x:c>
      <x:c r="B319" s="23" t="s">
        <x:v>362</x:v>
      </x:c>
      <x:c r="C319" s="124" t="s">
        <x:v>667</x:v>
      </x:c>
      <x:c r="D319" s="124">
        <x:v>640</x:v>
      </x:c>
      <x:c r="E319" s="158">
        <x:v>560</x:v>
      </x:c>
      <x:c r="F319" s="23" t="s">
        <x:v>61</x:v>
      </x:c>
      <x:c r="G319" s="23" t="s">
        <x:v>694</x:v>
      </x:c>
      <x:c r="H319" s="142">
        <x:v>46635</x:v>
      </x:c>
      <x:c r="I319" s="124">
        <x:v>19.920000000000002</x:v>
      </x:c>
      <x:c r="J319" s="125"/>
      <x:c r="K319" s="25"/>
      <x:c r="L319" s="127"/>
      <x:c r="M319" s="127"/>
    </x:row>
    <x:row r="320" spans="1:13" ht="22.050000000000001">
      <x:c r="A320" s="20" t="s">
        <x:v>330</x:v>
      </x:c>
      <x:c r="B320" s="20" t="s">
        <x:v>362</x:v>
      </x:c>
      <x:c r="C320" s="123" t="s">
        <x:v>667</x:v>
      </x:c>
      <x:c r="D320" s="123">
        <x:v>640</x:v>
      </x:c>
      <x:c r="E320" s="157">
        <x:v>103</x:v>
      </x:c>
      <x:c r="F320" s="20" t="s">
        <x:v>83</x:v>
      </x:c>
      <x:c r="G320" s="20" t="s">
        <x:v>290</x:v>
      </x:c>
      <x:c r="H320" s="141">
        <x:v>46743</x:v>
      </x:c>
      <x:c r="I320" s="123">
        <x:v>20.359999999999999</x:v>
      </x:c>
      <x:c r="J320" s="127"/>
      <x:c r="K320" s="22"/>
      <x:c r="L320" s="127"/>
      <x:c r="M320" s="127"/>
    </x:row>
    <x:row r="321" spans="1:13" ht="22.050000000000001">
      <x:c r="A321" s="23" t="s">
        <x:v>584</x:v>
      </x:c>
      <x:c r="B321" s="23" t="s">
        <x:v>362</x:v>
      </x:c>
      <x:c r="C321" s="124" t="s">
        <x:v>667</x:v>
      </x:c>
      <x:c r="D321" s="124">
        <x:v>1912</x:v>
      </x:c>
      <x:c r="E321" s="158">
        <x:v>5</x:v>
      </x:c>
      <x:c r="F321" s="23" t="s">
        <x:v>905</x:v>
      </x:c>
      <x:c r="G321" s="23" t="s">
        <x:v>617</x:v>
      </x:c>
      <x:c r="H321" s="142">
        <x:v>46616</x:v>
      </x:c>
      <x:c r="I321" s="124">
        <x:v>12.26</x:v>
      </x:c>
      <x:c r="J321" s="125"/>
      <x:c r="K321" s="25"/>
      <x:c r="L321" s="127"/>
      <x:c r="M321" s="127"/>
    </x:row>
    <x:row r="322" spans="1:13" ht="22.050000000000001">
      <x:c r="A322" s="20" t="s">
        <x:v>584</x:v>
      </x:c>
      <x:c r="B322" s="20" t="s">
        <x:v>362</x:v>
      </x:c>
      <x:c r="C322" s="123" t="s">
        <x:v>667</x:v>
      </x:c>
      <x:c r="D322" s="123">
        <x:v>1912</x:v>
      </x:c>
      <x:c r="E322" s="157">
        <x:v>130</x:v>
      </x:c>
      <x:c r="F322" s="20" t="s">
        <x:v>905</x:v>
      </x:c>
      <x:c r="G322" s="20" t="s">
        <x:v>747</x:v>
      </x:c>
      <x:c r="H322" s="141">
        <x:v>46616</x:v>
      </x:c>
      <x:c r="I322" s="123">
        <x:v>12.26</x:v>
      </x:c>
      <x:c r="J322" s="127"/>
      <x:c r="K322" s="22"/>
      <x:c r="L322" s="127"/>
      <x:c r="M322" s="127"/>
    </x:row>
    <x:row r="323" spans="1:13" ht="22.050000000000001">
      <x:c r="A323" s="23" t="s">
        <x:v>584</x:v>
      </x:c>
      <x:c r="B323" s="23" t="s">
        <x:v>362</x:v>
      </x:c>
      <x:c r="C323" s="124" t="s">
        <x:v>667</x:v>
      </x:c>
      <x:c r="D323" s="124">
        <x:v>640</x:v>
      </x:c>
      <x:c r="E323" s="158">
        <x:v>42</x:v>
      </x:c>
      <x:c r="F323" s="23" t="s">
        <x:v>61</x:v>
      </x:c>
      <x:c r="G323" s="23" t="s">
        <x:v>617</x:v>
      </x:c>
      <x:c r="H323" s="142">
        <x:v>46635</x:v>
      </x:c>
      <x:c r="I323" s="124">
        <x:v>17.41</x:v>
      </x:c>
      <x:c r="J323" s="125"/>
      <x:c r="K323" s="25"/>
      <x:c r="L323" s="127"/>
      <x:c r="M323" s="127"/>
    </x:row>
    <x:row r="324" spans="1:13" ht="22.050000000000001">
      <x:c r="A324" s="20" t="s">
        <x:v>584</x:v>
      </x:c>
      <x:c r="B324" s="20" t="s">
        <x:v>362</x:v>
      </x:c>
      <x:c r="C324" s="123" t="s">
        <x:v>667</x:v>
      </x:c>
      <x:c r="D324" s="123">
        <x:v>640</x:v>
      </x:c>
      <x:c r="E324" s="157">
        <x:v>299</x:v>
      </x:c>
      <x:c r="F324" s="20" t="s">
        <x:v>61</x:v>
      </x:c>
      <x:c r="G324" s="20" t="s">
        <x:v>694</x:v>
      </x:c>
      <x:c r="H324" s="141">
        <x:v>46635</x:v>
      </x:c>
      <x:c r="I324" s="123">
        <x:v>17.41</x:v>
      </x:c>
      <x:c r="J324" s="127"/>
      <x:c r="K324" s="22"/>
      <x:c r="L324" s="127"/>
      <x:c r="M324" s="127"/>
    </x:row>
    <x:row r="325" spans="1:13" ht="22.050000000000001">
      <x:c r="A325" s="25" t="s">
        <x:v>584</x:v>
      </x:c>
      <x:c r="B325" s="25" t="s">
        <x:v>362</x:v>
      </x:c>
      <x:c r="C325" s="125" t="s">
        <x:v>667</x:v>
      </x:c>
      <x:c r="D325" s="125">
        <x:v>640</x:v>
      </x:c>
      <x:c r="E325" s="159">
        <x:v>1</x:v>
      </x:c>
      <x:c r="F325" s="25" t="s">
        <x:v>83</x:v>
      </x:c>
      <x:c r="G325" s="25" t="s">
        <x:v>290</x:v>
      </x:c>
      <x:c r="H325" s="143">
        <x:v>46743</x:v>
      </x:c>
      <x:c r="I325" s="125">
        <x:v>20</x:v>
      </x:c>
      <x:c r="J325" s="125"/>
      <x:c r="K325" s="25" t="s">
        <x:v>353</x:v>
      </x:c>
      <x:c r="L325" s="127"/>
      <x:c r="M325" s="127"/>
    </x:row>
    <x:row r="326" spans="1:13" ht="22.050000000000001">
      <x:c r="A326" s="20" t="s">
        <x:v>584</x:v>
      </x:c>
      <x:c r="B326" s="20" t="s">
        <x:v>362</x:v>
      </x:c>
      <x:c r="C326" s="123" t="s">
        <x:v>667</x:v>
      </x:c>
      <x:c r="D326" s="123">
        <x:v>640</x:v>
      </x:c>
      <x:c r="E326" s="157">
        <x:v>104</x:v>
      </x:c>
      <x:c r="F326" s="20" t="s">
        <x:v>83</x:v>
      </x:c>
      <x:c r="G326" s="20" t="s">
        <x:v>290</x:v>
      </x:c>
      <x:c r="H326" s="141">
        <x:v>46743</x:v>
      </x:c>
      <x:c r="I326" s="123">
        <x:v>20</x:v>
      </x:c>
      <x:c r="J326" s="127"/>
      <x:c r="K326" s="22"/>
      <x:c r="L326" s="127"/>
      <x:c r="M326" s="127"/>
    </x:row>
    <x:row r="327" spans="1:13" ht="22.050000000000001">
      <x:c r="A327" s="23" t="s">
        <x:v>717</x:v>
      </x:c>
      <x:c r="B327" s="23" t="s">
        <x:v>533</x:v>
      </x:c>
      <x:c r="C327" s="124" t="s">
        <x:v>657</x:v>
      </x:c>
      <x:c r="D327" s="124">
        <x:v>93</x:v>
      </x:c>
      <x:c r="E327" s="158">
        <x:v>221</x:v>
      </x:c>
      <x:c r="F327" s="23" t="s">
        <x:v>978</x:v>
      </x:c>
      <x:c r="G327" s="23" t="s">
        <x:v>722</x:v>
      </x:c>
      <x:c r="H327" s="142">
        <x:v>46760</x:v>
      </x:c>
      <x:c r="I327" s="124">
        <x:v>34.969999999999999</x:v>
      </x:c>
      <x:c r="J327" s="125"/>
      <x:c r="K327" s="25"/>
      <x:c r="L327" s="127"/>
      <x:c r="M327" s="127"/>
    </x:row>
    <x:row r="328" spans="1:13" ht="22.050000000000001">
      <x:c r="A328" s="22" t="s">
        <x:v>717</x:v>
      </x:c>
      <x:c r="B328" s="22" t="s">
        <x:v>533</x:v>
      </x:c>
      <x:c r="C328" s="127" t="s">
        <x:v>627</x:v>
      </x:c>
      <x:c r="D328" s="127" t="s">
        <x:v>618</x:v>
      </x:c>
      <x:c r="E328" s="160">
        <x:v>0</x:v>
      </x:c>
      <x:c r="F328" s="22" t="s">
        <x:v>225</x:v>
      </x:c>
      <x:c r="G328" s="22" t="s">
        <x:v>722</x:v>
      </x:c>
      <x:c r="H328" s="144">
        <x:v>46785</x:v>
      </x:c>
      <x:c r="I328" s="127">
        <x:v>20.84</x:v>
      </x:c>
      <x:c r="J328" s="127">
        <x:v>46135</x:v>
      </x:c>
      <x:c r="K328" s="22" t="s">
        <x:v>772</x:v>
      </x:c>
      <x:c r="L328" s="125"/>
      <x:c r="M328" s="125"/>
    </x:row>
    <x:row r="329" spans="1:13" ht="22.050000000000001">
      <x:c r="A329" s="31" t="s">
        <x:v>717</x:v>
      </x:c>
      <x:c r="B329" s="31" t="s">
        <x:v>533</x:v>
      </x:c>
      <x:c r="C329" s="124" t="s">
        <x:v>627</x:v>
      </x:c>
      <x:c r="D329" s="124" t="s">
        <x:v>618</x:v>
      </x:c>
      <x:c r="E329" s="158">
        <x:v>43</x:v>
      </x:c>
      <x:c r="F329" s="31" t="s">
        <x:v>225</x:v>
      </x:c>
      <x:c r="G329" s="23" t="s">
        <x:v>617</x:v>
      </x:c>
      <x:c r="H329" s="142">
        <x:v>46785</x:v>
      </x:c>
      <x:c r="I329" s="124">
        <x:v>20.84</x:v>
      </x:c>
      <x:c r="J329" s="125"/>
      <x:c r="K329" s="25"/>
      <x:c r="L329" s="127"/>
      <x:c r="M329" s="127"/>
    </x:row>
    <x:row r="330" spans="1:13" ht="22.050000000000001">
      <x:c r="A330" s="30" t="s">
        <x:v>717</x:v>
      </x:c>
      <x:c r="B330" s="30" t="s">
        <x:v>533</x:v>
      </x:c>
      <x:c r="C330" s="123" t="s">
        <x:v>627</x:v>
      </x:c>
      <x:c r="D330" s="123" t="s">
        <x:v>618</x:v>
      </x:c>
      <x:c r="E330" s="157">
        <x:v>145</x:v>
      </x:c>
      <x:c r="F330" s="30" t="s">
        <x:v>225</x:v>
      </x:c>
      <x:c r="G330" s="30" t="s">
        <x:v>722</x:v>
      </x:c>
      <x:c r="H330" s="141">
        <x:v>46785</x:v>
      </x:c>
      <x:c r="I330" s="123">
        <x:v>20.84</x:v>
      </x:c>
      <x:c r="J330" s="127"/>
      <x:c r="K330" s="22"/>
      <x:c r="L330" s="127"/>
      <x:c r="M330" s="127"/>
    </x:row>
    <x:row r="331" spans="1:13" ht="22.050000000000001">
      <x:c r="A331" s="23" t="s">
        <x:v>717</x:v>
      </x:c>
      <x:c r="B331" s="31" t="s">
        <x:v>533</x:v>
      </x:c>
      <x:c r="C331" s="124" t="s">
        <x:v>616</x:v>
      </x:c>
      <x:c r="D331" s="124" t="s">
        <x:v>625</x:v>
      </x:c>
      <x:c r="E331" s="158">
        <x:v>6</x:v>
      </x:c>
      <x:c r="F331" s="23" t="s">
        <x:v>123</x:v>
      </x:c>
      <x:c r="G331" s="23" t="s">
        <x:v>617</x:v>
      </x:c>
      <x:c r="H331" s="142">
        <x:v>46508</x:v>
      </x:c>
      <x:c r="I331" s="124">
        <x:v>23.390000000000001</x:v>
      </x:c>
      <x:c r="J331" s="125"/>
      <x:c r="K331" s="25"/>
      <x:c r="L331" s="127"/>
      <x:c r="M331" s="127"/>
    </x:row>
    <x:row r="332" spans="1:13" ht="22.050000000000001">
      <x:c r="A332" s="20" t="s">
        <x:v>717</x:v>
      </x:c>
      <x:c r="B332" s="20" t="s">
        <x:v>573</x:v>
      </x:c>
      <x:c r="C332" s="123" t="s">
        <x:v>631</x:v>
      </x:c>
      <x:c r="D332" s="123">
        <x:v>969</x:v>
      </x:c>
      <x:c r="E332" s="157">
        <x:v>51</x:v>
      </x:c>
      <x:c r="F332" s="20" t="s">
        <x:v>254</x:v>
      </x:c>
      <x:c r="G332" s="30" t="s">
        <x:v>309</x:v>
      </x:c>
      <x:c r="H332" s="141">
        <x:v>46767</x:v>
      </x:c>
      <x:c r="I332" s="129">
        <x:v>18.760000000000002</x:v>
      </x:c>
      <x:c r="J332" s="127"/>
      <x:c r="K332" s="22"/>
      <x:c r="L332" s="127"/>
      <x:c r="M332" s="127"/>
    </x:row>
    <x:row r="333" spans="1:13" ht="22.050000000000001">
      <x:c r="A333" s="25" t="s">
        <x:v>379</x:v>
      </x:c>
      <x:c r="B333" s="25" t="s">
        <x:v>311</x:v>
      </x:c>
      <x:c r="C333" s="125" t="s">
        <x:v>599</x:v>
      </x:c>
      <x:c r="D333" s="125"/>
      <x:c r="E333" s="159">
        <x:v>20</x:v>
      </x:c>
      <x:c r="F333" s="25" t="s">
        <x:v>116</x:v>
      </x:c>
      <x:c r="G333" s="25" t="s">
        <x:v>617</x:v>
      </x:c>
      <x:c r="H333" s="143">
        <x:v>46478</x:v>
      </x:c>
      <x:c r="I333" s="132">
        <x:v>10</x:v>
      </x:c>
      <x:c r="J333" s="125">
        <x:v>46140</x:v>
      </x:c>
      <x:c r="K333" s="25" t="s">
        <x:v>411</x:v>
      </x:c>
      <x:c r="L333" s="125"/>
      <x:c r="M333" s="125"/>
    </x:row>
    <x:row r="334" spans="1:13" ht="22.050000000000001">
      <x:c r="A334" s="20" t="s">
        <x:v>643</x:v>
      </x:c>
      <x:c r="B334" s="20" t="s">
        <x:v>757</x:v>
      </x:c>
      <x:c r="C334" s="123"/>
      <x:c r="D334" s="153" t="s">
        <x:v>712</x:v>
      </x:c>
      <x:c r="E334" s="157">
        <x:v>5</x:v>
      </x:c>
      <x:c r="F334" s="20" t="s">
        <x:v>117</x:v>
      </x:c>
      <x:c r="G334" s="20" t="s">
        <x:v>617</x:v>
      </x:c>
      <x:c r="H334" s="141">
        <x:v>46753</x:v>
      </x:c>
      <x:c r="I334" s="123">
        <x:v>20.890000000000001</x:v>
      </x:c>
      <x:c r="J334" s="127"/>
      <x:c r="K334" s="22"/>
      <x:c r="L334" s="127"/>
      <x:c r="M334" s="127"/>
    </x:row>
    <x:row r="335" spans="1:13" ht="22.050000000000001">
      <x:c r="A335" s="23" t="s">
        <x:v>643</x:v>
      </x:c>
      <x:c r="B335" s="23" t="s">
        <x:v>757</x:v>
      </x:c>
      <x:c r="C335" s="124"/>
      <x:c r="D335" s="154" t="s">
        <x:v>712</x:v>
      </x:c>
      <x:c r="E335" s="158">
        <x:v>50</x:v>
      </x:c>
      <x:c r="F335" s="23" t="s">
        <x:v>963</x:v>
      </x:c>
      <x:c r="G335" s="23" t="s">
        <x:v>617</x:v>
      </x:c>
      <x:c r="H335" s="142">
        <x:v>46784</x:v>
      </x:c>
      <x:c r="I335" s="124">
        <x:v>20.030000000000001</x:v>
      </x:c>
      <x:c r="J335" s="125"/>
      <x:c r="K335" s="25"/>
      <x:c r="L335" s="127"/>
      <x:c r="M335" s="127"/>
    </x:row>
    <x:row r="336" spans="1:13" ht="22.050000000000001">
      <x:c r="A336" s="20" t="s">
        <x:v>643</x:v>
      </x:c>
      <x:c r="B336" s="20" t="s">
        <x:v>1057</x:v>
      </x:c>
      <x:c r="C336" s="123" t="s">
        <x:v>363</x:v>
      </x:c>
      <x:c r="D336" s="123">
        <x:v>10.03651</x:v>
      </x:c>
      <x:c r="E336" s="157">
        <x:v>15</x:v>
      </x:c>
      <x:c r="F336" s="20" t="s">
        <x:v>896</x:v>
      </x:c>
      <x:c r="G336" s="20" t="s">
        <x:v>617</x:v>
      </x:c>
      <x:c r="H336" s="141">
        <x:v>46753</x:v>
      </x:c>
      <x:c r="I336" s="123">
        <x:v>15.77</x:v>
      </x:c>
      <x:c r="J336" s="127"/>
      <x:c r="K336" s="22"/>
      <x:c r="L336" s="127"/>
      <x:c r="M336" s="127"/>
    </x:row>
    <x:row r="337" spans="1:13" ht="22.050000000000001">
      <x:c r="A337" s="23" t="s">
        <x:v>643</x:v>
      </x:c>
      <x:c r="B337" s="23" t="s">
        <x:v>949</x:v>
      </x:c>
      <x:c r="C337" s="124"/>
      <x:c r="D337" s="124">
        <x:v>60224</x:v>
      </x:c>
      <x:c r="E337" s="158">
        <x:v>15</x:v>
      </x:c>
      <x:c r="F337" s="23" t="s">
        <x:v>1061</x:v>
      </x:c>
      <x:c r="G337" s="23" t="s">
        <x:v>617</x:v>
      </x:c>
      <x:c r="H337" s="142">
        <x:v>46753</x:v>
      </x:c>
      <x:c r="I337" s="124">
        <x:v>22.251999999999999</x:v>
      </x:c>
      <x:c r="J337" s="125"/>
      <x:c r="K337" s="25"/>
      <x:c r="L337" s="127"/>
      <x:c r="M337" s="127"/>
    </x:row>
    <x:row r="338" spans="1:13" ht="22.050000000000001">
      <x:c r="A338" s="22" t="s">
        <x:v>643</x:v>
      </x:c>
      <x:c r="B338" s="22" t="s">
        <x:v>1051</x:v>
      </x:c>
      <x:c r="C338" s="127"/>
      <x:c r="D338" s="127" t="s">
        <x:v>1056</x:v>
      </x:c>
      <x:c r="E338" s="160">
        <x:v>45</x:v>
      </x:c>
      <x:c r="F338" s="22" t="s">
        <x:v>1034</x:v>
      </x:c>
      <x:c r="G338" s="22" t="s">
        <x:v>628</x:v>
      </x:c>
      <x:c r="H338" s="144">
        <x:v>46710</x:v>
      </x:c>
      <x:c r="I338" s="127">
        <x:v>16.5</x:v>
      </x:c>
      <x:c r="J338" s="127"/>
      <x:c r="K338" s="22" t="s">
        <x:v>732</x:v>
      </x:c>
      <x:c r="L338" s="127"/>
      <x:c r="M338" s="127"/>
    </x:row>
    <x:row r="339" spans="1:13" ht="22.050000000000001">
      <x:c r="A339" s="23" t="s">
        <x:v>643</x:v>
      </x:c>
      <x:c r="B339" s="23" t="s">
        <x:v>328</x:v>
      </x:c>
      <x:c r="C339" s="124"/>
      <x:c r="D339" s="124" t="s">
        <x:v>346</x:v>
      </x:c>
      <x:c r="E339" s="158">
        <x:v>45</x:v>
      </x:c>
      <x:c r="F339" s="23" t="s">
        <x:v>984</x:v>
      </x:c>
      <x:c r="G339" s="23" t="s">
        <x:v>617</x:v>
      </x:c>
      <x:c r="H339" s="142">
        <x:v>46653</x:v>
      </x:c>
      <x:c r="I339" s="124">
        <x:v>21</x:v>
      </x:c>
      <x:c r="J339" s="125"/>
      <x:c r="K339" s="25"/>
      <x:c r="L339" s="127"/>
      <x:c r="M339" s="127"/>
    </x:row>
    <x:row r="340" spans="1:13" ht="22.050000000000001">
      <x:c r="A340" s="20" t="s">
        <x:v>643</x:v>
      </x:c>
      <x:c r="B340" s="20" t="s">
        <x:v>328</x:v>
      </x:c>
      <x:c r="C340" s="123"/>
      <x:c r="D340" s="123" t="s">
        <x:v>313</x:v>
      </x:c>
      <x:c r="E340" s="157">
        <x:v>51</x:v>
      </x:c>
      <x:c r="F340" s="20" t="s">
        <x:v>984</x:v>
      </x:c>
      <x:c r="G340" s="20" t="s">
        <x:v>617</x:v>
      </x:c>
      <x:c r="H340" s="141">
        <x:v>46653</x:v>
      </x:c>
      <x:c r="I340" s="123">
        <x:v>19.789999999999999</x:v>
      </x:c>
      <x:c r="J340" s="127"/>
      <x:c r="K340" s="22"/>
      <x:c r="L340" s="127"/>
      <x:c r="M340" s="127"/>
    </x:row>
    <x:row r="341" spans="1:13" ht="22.050000000000001">
      <x:c r="A341" s="23" t="s">
        <x:v>643</x:v>
      </x:c>
      <x:c r="B341" s="23" t="s">
        <x:v>328</x:v>
      </x:c>
      <x:c r="C341" s="124"/>
      <x:c r="D341" s="124" t="s">
        <x:v>346</x:v>
      </x:c>
      <x:c r="E341" s="158">
        <x:v>90</x:v>
      </x:c>
      <x:c r="F341" s="23" t="s">
        <x:v>984</x:v>
      </x:c>
      <x:c r="G341" s="23" t="s">
        <x:v>722</x:v>
      </x:c>
      <x:c r="H341" s="142">
        <x:v>46653</x:v>
      </x:c>
      <x:c r="I341" s="124">
        <x:v>21</x:v>
      </x:c>
      <x:c r="J341" s="125"/>
      <x:c r="K341" s="25"/>
      <x:c r="L341" s="127"/>
      <x:c r="M341" s="127"/>
    </x:row>
    <x:row r="342" spans="1:13" ht="22.050000000000001">
      <x:c r="A342" s="20" t="s">
        <x:v>643</x:v>
      </x:c>
      <x:c r="B342" s="20" t="s">
        <x:v>332</x:v>
      </x:c>
      <x:c r="C342" s="123"/>
      <x:c r="D342" s="123">
        <x:v>338</x:v>
      </x:c>
      <x:c r="E342" s="157">
        <x:v>48</x:v>
      </x:c>
      <x:c r="F342" s="20" t="s">
        <x:v>952</x:v>
      </x:c>
      <x:c r="G342" s="20" t="s">
        <x:v>617</x:v>
      </x:c>
      <x:c r="H342" s="141">
        <x:v>46661</x:v>
      </x:c>
      <x:c r="I342" s="123">
        <x:v>15.52</x:v>
      </x:c>
      <x:c r="J342" s="127"/>
      <x:c r="K342" s="22"/>
      <x:c r="L342" s="127"/>
      <x:c r="M342" s="127"/>
    </x:row>
    <x:row r="343" spans="1:13" ht="22.050000000000001">
      <x:c r="A343" s="25" t="s">
        <x:v>643</x:v>
      </x:c>
      <x:c r="B343" s="25" t="s">
        <x:v>603</x:v>
      </x:c>
      <x:c r="C343" s="125" t="s">
        <x:v>710</x:v>
      </x:c>
      <x:c r="D343" s="125">
        <x:v>688</x:v>
      </x:c>
      <x:c r="E343" s="159">
        <x:v>0</x:v>
      </x:c>
      <x:c r="F343" s="25" t="s">
        <x:v>88</x:v>
      </x:c>
      <x:c r="G343" s="25" t="s">
        <x:v>617</x:v>
      </x:c>
      <x:c r="H343" s="143">
        <x:v>46739</x:v>
      </x:c>
      <x:c r="I343" s="125">
        <x:v>14.84</x:v>
      </x:c>
      <x:c r="J343" s="125">
        <x:v>46135</x:v>
      </x:c>
      <x:c r="K343" s="25" t="s">
        <x:v>299</x:v>
      </x:c>
      <x:c r="L343" s="125"/>
      <x:c r="M343" s="125"/>
    </x:row>
    <x:row r="344" spans="1:13" ht="22.050000000000001">
      <x:c r="A344" s="22" t="s">
        <x:v>643</x:v>
      </x:c>
      <x:c r="B344" s="22" t="s">
        <x:v>603</x:v>
      </x:c>
      <x:c r="C344" s="127" t="s">
        <x:v>710</x:v>
      </x:c>
      <x:c r="D344" s="127">
        <x:v>688</x:v>
      </x:c>
      <x:c r="E344" s="160">
        <x:v>0</x:v>
      </x:c>
      <x:c r="F344" s="22" t="s">
        <x:v>88</x:v>
      </x:c>
      <x:c r="G344" s="22" t="s">
        <x:v>617</x:v>
      </x:c>
      <x:c r="H344" s="144">
        <x:v>46739</x:v>
      </x:c>
      <x:c r="I344" s="127">
        <x:v>14.84</x:v>
      </x:c>
      <x:c r="J344" s="127">
        <x:v>46135</x:v>
      </x:c>
      <x:c r="K344" s="22" t="s">
        <x:v>393</x:v>
      </x:c>
      <x:c r="L344" s="125"/>
      <x:c r="M344" s="125"/>
    </x:row>
    <x:row r="345" spans="1:13" ht="22.050000000000001">
      <x:c r="A345" s="23" t="s">
        <x:v>643</x:v>
      </x:c>
      <x:c r="B345" s="23" t="s">
        <x:v>603</x:v>
      </x:c>
      <x:c r="C345" s="124" t="s">
        <x:v>710</x:v>
      </x:c>
      <x:c r="D345" s="124">
        <x:v>688</x:v>
      </x:c>
      <x:c r="E345" s="158">
        <x:v>10</x:v>
      </x:c>
      <x:c r="F345" s="23" t="s">
        <x:v>88</x:v>
      </x:c>
      <x:c r="G345" s="23" t="s">
        <x:v>617</x:v>
      </x:c>
      <x:c r="H345" s="142">
        <x:v>46739</x:v>
      </x:c>
      <x:c r="I345" s="124">
        <x:v>14.84</x:v>
      </x:c>
      <x:c r="J345" s="125"/>
      <x:c r="K345" s="25"/>
      <x:c r="L345" s="127"/>
      <x:c r="M345" s="127"/>
    </x:row>
    <x:row r="346" spans="1:13" ht="22.050000000000001">
      <x:c r="A346" s="22" t="s">
        <x:v>643</x:v>
      </x:c>
      <x:c r="B346" s="22" t="s">
        <x:v>603</x:v>
      </x:c>
      <x:c r="C346" s="127" t="s">
        <x:v>775</x:v>
      </x:c>
      <x:c r="D346" s="127">
        <x:v>20202</x:v>
      </x:c>
      <x:c r="E346" s="160">
        <x:v>0</x:v>
      </x:c>
      <x:c r="F346" s="22" t="s">
        <x:v>930</x:v>
      </x:c>
      <x:c r="G346" s="22" t="s">
        <x:v>617</x:v>
      </x:c>
      <x:c r="H346" s="144">
        <x:v>46767</x:v>
      </x:c>
      <x:c r="I346" s="127">
        <x:v>15.69</x:v>
      </x:c>
      <x:c r="J346" s="127">
        <x:v>46135</x:v>
      </x:c>
      <x:c r="K346" s="22" t="s">
        <x:v>299</x:v>
      </x:c>
      <x:c r="L346" s="125"/>
      <x:c r="M346" s="125"/>
    </x:row>
    <x:row r="347" spans="1:13" ht="22.050000000000001">
      <x:c r="A347" s="23" t="s">
        <x:v>643</x:v>
      </x:c>
      <x:c r="B347" s="23" t="s">
        <x:v>603</x:v>
      </x:c>
      <x:c r="C347" s="124" t="s">
        <x:v>775</x:v>
      </x:c>
      <x:c r="D347" s="124">
        <x:v>20202</x:v>
      </x:c>
      <x:c r="E347" s="158">
        <x:v>5</x:v>
      </x:c>
      <x:c r="F347" s="23" t="s">
        <x:v>930</x:v>
      </x:c>
      <x:c r="G347" s="23" t="s">
        <x:v>617</x:v>
      </x:c>
      <x:c r="H347" s="142">
        <x:v>46767</x:v>
      </x:c>
      <x:c r="I347" s="124">
        <x:v>15.69</x:v>
      </x:c>
      <x:c r="J347" s="125"/>
      <x:c r="K347" s="25"/>
      <x:c r="L347" s="127"/>
      <x:c r="M347" s="127"/>
    </x:row>
    <x:row r="348" spans="1:13" ht="22.050000000000001">
      <x:c r="A348" s="20" t="s">
        <x:v>643</x:v>
      </x:c>
      <x:c r="B348" s="20" t="s">
        <x:v>603</x:v>
      </x:c>
      <x:c r="C348" s="123" t="s">
        <x:v>775</x:v>
      </x:c>
      <x:c r="D348" s="123">
        <x:v>20202</x:v>
      </x:c>
      <x:c r="E348" s="157">
        <x:v>125</x:v>
      </x:c>
      <x:c r="F348" s="20" t="s">
        <x:v>941</x:v>
      </x:c>
      <x:c r="G348" s="20" t="s">
        <x:v>290</x:v>
      </x:c>
      <x:c r="H348" s="141">
        <x:v>46772</x:v>
      </x:c>
      <x:c r="I348" s="123">
        <x:v>15.539999999999999</x:v>
      </x:c>
      <x:c r="J348" s="127"/>
      <x:c r="K348" s="22"/>
      <x:c r="L348" s="127"/>
      <x:c r="M348" s="127"/>
    </x:row>
    <x:row r="349" spans="1:13" ht="22.050000000000001">
      <x:c r="A349" s="23" t="s">
        <x:v>643</x:v>
      </x:c>
      <x:c r="B349" s="23" t="s">
        <x:v>603</x:v>
      </x:c>
      <x:c r="C349" s="124" t="s">
        <x:v>775</x:v>
      </x:c>
      <x:c r="D349" s="124">
        <x:v>20202</x:v>
      </x:c>
      <x:c r="E349" s="158">
        <x:v>140</x:v>
      </x:c>
      <x:c r="F349" s="23" t="s">
        <x:v>941</x:v>
      </x:c>
      <x:c r="G349" s="23" t="s">
        <x:v>617</x:v>
      </x:c>
      <x:c r="H349" s="142">
        <x:v>46772</x:v>
      </x:c>
      <x:c r="I349" s="124">
        <x:v>15.539999999999999</x:v>
      </x:c>
      <x:c r="J349" s="125"/>
      <x:c r="K349" s="25"/>
      <x:c r="L349" s="127"/>
      <x:c r="M349" s="127"/>
    </x:row>
    <x:row r="350" spans="1:13" ht="22.050000000000001">
      <x:c r="A350" s="30" t="s">
        <x:v>643</x:v>
      </x:c>
      <x:c r="B350" s="20" t="s">
        <x:v>603</x:v>
      </x:c>
      <x:c r="C350" s="123" t="s">
        <x:v>775</x:v>
      </x:c>
      <x:c r="D350" s="123">
        <x:v>20202</x:v>
      </x:c>
      <x:c r="E350" s="157">
        <x:v>387</x:v>
      </x:c>
      <x:c r="F350" s="20" t="s">
        <x:v>972</x:v>
      </x:c>
      <x:c r="G350" s="20" t="s">
        <x:v>679</x:v>
      </x:c>
      <x:c r="H350" s="141">
        <x:v>46788</x:v>
      </x:c>
      <x:c r="I350" s="123">
        <x:v>15.300000000000001</x:v>
      </x:c>
      <x:c r="J350" s="127"/>
      <x:c r="K350" s="22"/>
      <x:c r="L350" s="127"/>
      <x:c r="M350" s="127"/>
    </x:row>
    <x:row r="351" spans="1:13" ht="22.050000000000001">
      <x:c r="A351" s="25" t="s">
        <x:v>643</x:v>
      </x:c>
      <x:c r="B351" s="25" t="s">
        <x:v>1059</x:v>
      </x:c>
      <x:c r="C351" s="125"/>
      <x:c r="D351" s="125">
        <x:v>3603</x:v>
      </x:c>
      <x:c r="E351" s="159">
        <x:v>53</x:v>
      </x:c>
      <x:c r="F351" s="25" t="s">
        <x:v>957</x:v>
      </x:c>
      <x:c r="G351" s="25" t="s">
        <x:v>617</x:v>
      </x:c>
      <x:c r="H351" s="143">
        <x:v>46447</x:v>
      </x:c>
      <x:c r="I351" s="125">
        <x:v>21.120000000000001</x:v>
      </x:c>
      <x:c r="J351" s="125"/>
      <x:c r="K351" s="25" t="s">
        <x:v>412</x:v>
      </x:c>
      <x:c r="L351" s="127"/>
      <x:c r="M351" s="127"/>
    </x:row>
    <x:row r="352" spans="1:13" ht="22.050000000000001">
      <x:c r="A352" s="30" t="s">
        <x:v>547</x:v>
      </x:c>
      <x:c r="B352" s="30" t="s">
        <x:v>533</x:v>
      </x:c>
      <x:c r="C352" s="123" t="s">
        <x:v>636</x:v>
      </x:c>
      <x:c r="D352" s="123" t="s">
        <x:v>618</x:v>
      </x:c>
      <x:c r="E352" s="157">
        <x:v>0</x:v>
      </x:c>
      <x:c r="F352" s="30" t="s">
        <x:v>951</x:v>
      </x:c>
      <x:c r="G352" s="30" t="s">
        <x:v>620</x:v>
      </x:c>
      <x:c r="H352" s="141">
        <x:v>46604</x:v>
      </x:c>
      <x:c r="I352" s="123">
        <x:v>25.84</x:v>
      </x:c>
      <x:c r="J352" s="127"/>
      <x:c r="K352" s="22"/>
      <x:c r="L352" s="127"/>
      <x:c r="M352" s="127"/>
    </x:row>
    <x:row r="353" spans="1:13" ht="22.050000000000001">
      <x:c r="A353" s="31" t="s">
        <x:v>547</x:v>
      </x:c>
      <x:c r="B353" s="31" t="s">
        <x:v>533</x:v>
      </x:c>
      <x:c r="C353" s="124" t="s">
        <x:v>636</x:v>
      </x:c>
      <x:c r="D353" s="124" t="s">
        <x:v>618</x:v>
      </x:c>
      <x:c r="E353" s="158">
        <x:v>10</x:v>
      </x:c>
      <x:c r="F353" s="31" t="s">
        <x:v>951</x:v>
      </x:c>
      <x:c r="G353" s="31" t="s">
        <x:v>617</x:v>
      </x:c>
      <x:c r="H353" s="142">
        <x:v>46604</x:v>
      </x:c>
      <x:c r="I353" s="124">
        <x:v>25.84</x:v>
      </x:c>
      <x:c r="J353" s="125"/>
      <x:c r="K353" s="25"/>
      <x:c r="L353" s="127"/>
      <x:c r="M353" s="127"/>
    </x:row>
    <x:row r="354" spans="1:13" ht="22.050000000000001">
      <x:c r="A354" s="22" t="s">
        <x:v>547</x:v>
      </x:c>
      <x:c r="B354" s="22" t="s">
        <x:v>533</x:v>
      </x:c>
      <x:c r="C354" s="127" t="s">
        <x:v>636</x:v>
      </x:c>
      <x:c r="D354" s="127" t="s">
        <x:v>670</x:v>
      </x:c>
      <x:c r="E354" s="160">
        <x:v>57</x:v>
      </x:c>
      <x:c r="F354" s="22" t="s">
        <x:v>114</x:v>
      </x:c>
      <x:c r="G354" s="22" t="s">
        <x:v>722</x:v>
      </x:c>
      <x:c r="H354" s="144">
        <x:v>46721</x:v>
      </x:c>
      <x:c r="I354" s="133">
        <x:v>31.399999999999999</x:v>
      </x:c>
      <x:c r="J354" s="127"/>
      <x:c r="K354" s="22" t="s">
        <x:v>401</x:v>
      </x:c>
      <x:c r="L354" s="127"/>
      <x:c r="M354" s="127"/>
    </x:row>
    <x:row r="355" spans="1:13" ht="22.050000000000001">
      <x:c r="A355" s="25" t="s">
        <x:v>547</x:v>
      </x:c>
      <x:c r="B355" s="25" t="s">
        <x:v>533</x:v>
      </x:c>
      <x:c r="C355" s="125" t="s">
        <x:v>636</x:v>
      </x:c>
      <x:c r="D355" s="125" t="s">
        <x:v>625</x:v>
      </x:c>
      <x:c r="E355" s="159">
        <x:v>11</x:v>
      </x:c>
      <x:c r="F355" s="25" t="s">
        <x:v>103</x:v>
      </x:c>
      <x:c r="G355" s="25" t="s">
        <x:v>748</x:v>
      </x:c>
      <x:c r="H355" s="143">
        <x:v>46732</x:v>
      </x:c>
      <x:c r="I355" s="125">
        <x:v>30.030000000000001</x:v>
      </x:c>
      <x:c r="J355" s="125"/>
      <x:c r="K355" s="25" t="s">
        <x:v>375</x:v>
      </x:c>
      <x:c r="L355" s="127"/>
      <x:c r="M355" s="127"/>
    </x:row>
    <x:row r="356" spans="1:13" ht="22.050000000000001">
      <x:c r="A356" s="22" t="s">
        <x:v>547</x:v>
      </x:c>
      <x:c r="B356" s="22" t="s">
        <x:v>533</x:v>
      </x:c>
      <x:c r="C356" s="127" t="s">
        <x:v>636</x:v>
      </x:c>
      <x:c r="D356" s="127" t="s">
        <x:v>670</x:v>
      </x:c>
      <x:c r="E356" s="160">
        <x:v>40</x:v>
      </x:c>
      <x:c r="F356" s="22" t="s">
        <x:v>92</x:v>
      </x:c>
      <x:c r="G356" s="22" t="s">
        <x:v>666</x:v>
      </x:c>
      <x:c r="H356" s="144">
        <x:v>46746</x:v>
      </x:c>
      <x:c r="I356" s="127">
        <x:v>30.030000000000001</x:v>
      </x:c>
      <x:c r="J356" s="127"/>
      <x:c r="K356" s="22" t="s">
        <x:v>375</x:v>
      </x:c>
      <x:c r="L356" s="127"/>
      <x:c r="M356" s="127"/>
    </x:row>
    <x:row r="357" spans="1:13" ht="22.050000000000001">
      <x:c r="A357" s="23" t="s">
        <x:v>547</x:v>
      </x:c>
      <x:c r="B357" s="23" t="s">
        <x:v>362</x:v>
      </x:c>
      <x:c r="C357" s="124" t="s">
        <x:v>667</x:v>
      </x:c>
      <x:c r="D357" s="124">
        <x:v>640</x:v>
      </x:c>
      <x:c r="E357" s="158">
        <x:v>29</x:v>
      </x:c>
      <x:c r="F357" s="23" t="s">
        <x:v>94</x:v>
      </x:c>
      <x:c r="G357" s="23" t="s">
        <x:v>290</x:v>
      </x:c>
      <x:c r="H357" s="142">
        <x:v>46756</x:v>
      </x:c>
      <x:c r="I357" s="124">
        <x:v>19.809999999999999</x:v>
      </x:c>
      <x:c r="J357" s="125"/>
      <x:c r="K357" s="25"/>
      <x:c r="L357" s="127"/>
      <x:c r="M357" s="127"/>
    </x:row>
    <x:row r="358" spans="1:13" ht="22.050000000000001">
      <x:c r="A358" s="20" t="s">
        <x:v>547</x:v>
      </x:c>
      <x:c r="B358" s="20" t="s">
        <x:v>362</x:v>
      </x:c>
      <x:c r="C358" s="123" t="s">
        <x:v>667</x:v>
      </x:c>
      <x:c r="D358" s="123">
        <x:v>640</x:v>
      </x:c>
      <x:c r="E358" s="157">
        <x:v>25</x:v>
      </x:c>
      <x:c r="F358" s="20" t="s">
        <x:v>94</x:v>
      </x:c>
      <x:c r="G358" s="20" t="s">
        <x:v>617</x:v>
      </x:c>
      <x:c r="H358" s="141">
        <x:v>46756</x:v>
      </x:c>
      <x:c r="I358" s="123">
        <x:v>19.809999999999999</x:v>
      </x:c>
      <x:c r="J358" s="127"/>
      <x:c r="K358" s="22"/>
      <x:c r="L358" s="127"/>
      <x:c r="M358" s="127"/>
    </x:row>
    <x:row r="359" spans="1:13" ht="22.050000000000001">
      <x:c r="A359" s="25" t="s">
        <x:v>547</x:v>
      </x:c>
      <x:c r="B359" s="25" t="s">
        <x:v>362</x:v>
      </x:c>
      <x:c r="C359" s="125" t="s">
        <x:v>667</x:v>
      </x:c>
      <x:c r="D359" s="125">
        <x:v>640</x:v>
      </x:c>
      <x:c r="E359" s="159">
        <x:v>100</x:v>
      </x:c>
      <x:c r="F359" s="25" t="s">
        <x:v>947</x:v>
      </x:c>
      <x:c r="G359" s="25" t="s">
        <x:v>290</x:v>
      </x:c>
      <x:c r="H359" s="143">
        <x:v>46765</x:v>
      </x:c>
      <x:c r="I359" s="125">
        <x:v>20.510000000000002</x:v>
      </x:c>
      <x:c r="J359" s="125"/>
      <x:c r="K359" s="25" t="s">
        <x:v>980</x:v>
      </x:c>
      <x:c r="L359" s="127"/>
      <x:c r="M359" s="127"/>
    </x:row>
    <x:row r="360" spans="1:13" ht="22.050000000000001">
      <x:c r="A360" s="20" t="s">
        <x:v>547</x:v>
      </x:c>
      <x:c r="B360" s="20" t="s">
        <x:v>362</x:v>
      </x:c>
      <x:c r="C360" s="123" t="s">
        <x:v>667</x:v>
      </x:c>
      <x:c r="D360" s="123">
        <x:v>640</x:v>
      </x:c>
      <x:c r="E360" s="157">
        <x:v>101</x:v>
      </x:c>
      <x:c r="F360" s="20" t="s">
        <x:v>947</x:v>
      </x:c>
      <x:c r="G360" s="20" t="s">
        <x:v>290</x:v>
      </x:c>
      <x:c r="H360" s="141">
        <x:v>46765</x:v>
      </x:c>
      <x:c r="I360" s="123">
        <x:v>20.510000000000002</x:v>
      </x:c>
      <x:c r="J360" s="127"/>
      <x:c r="K360" s="22"/>
      <x:c r="L360" s="127"/>
      <x:c r="M360" s="127"/>
    </x:row>
    <x:row r="361" spans="1:13" ht="22.050000000000001">
      <x:c r="A361" s="23" t="s">
        <x:v>547</x:v>
      </x:c>
      <x:c r="B361" s="23" t="s">
        <x:v>307</x:v>
      </x:c>
      <x:c r="C361" s="124" t="s">
        <x:v>414</x:v>
      </x:c>
      <x:c r="D361" s="124">
        <x:v>80</x:v>
      </x:c>
      <x:c r="E361" s="158">
        <x:v>21</x:v>
      </x:c>
      <x:c r="F361" s="23" t="s">
        <x:v>940</x:v>
      </x:c>
      <x:c r="G361" s="23" t="s">
        <x:v>304</x:v>
      </x:c>
      <x:c r="H361" s="142">
        <x:v>46760</x:v>
      </x:c>
      <x:c r="I361" s="124">
        <x:v>14.85</x:v>
      </x:c>
      <x:c r="J361" s="125"/>
      <x:c r="K361" s="25"/>
      <x:c r="L361" s="127"/>
      <x:c r="M361" s="127"/>
    </x:row>
    <x:row r="362" spans="1:13" ht="22.050000000000001">
      <x:c r="A362" s="20" t="s">
        <x:v>547</x:v>
      </x:c>
      <x:c r="B362" s="20" t="s">
        <x:v>573</x:v>
      </x:c>
      <x:c r="C362" s="123" t="s">
        <x:v>710</x:v>
      </x:c>
      <x:c r="D362" s="123" t="s">
        <x:v>685</x:v>
      </x:c>
      <x:c r="E362" s="157">
        <x:v>425</x:v>
      </x:c>
      <x:c r="F362" s="20" t="s">
        <x:v>98</x:v>
      </x:c>
      <x:c r="G362" s="20" t="s">
        <x:v>564</x:v>
      </x:c>
      <x:c r="H362" s="141">
        <x:v>46725</x:v>
      </x:c>
      <x:c r="I362" s="123">
        <x:v>18.93</x:v>
      </x:c>
      <x:c r="J362" s="127"/>
      <x:c r="K362" s="22"/>
      <x:c r="L362" s="125"/>
      <x:c r="M362" s="125"/>
    </x:row>
    <x:row r="363" spans="1:13" ht="22.050000000000001">
      <x:c r="A363" s="25" t="s">
        <x:v>547</x:v>
      </x:c>
      <x:c r="B363" s="25" t="s">
        <x:v>573</x:v>
      </x:c>
      <x:c r="C363" s="125" t="s">
        <x:v>710</x:v>
      </x:c>
      <x:c r="D363" s="125" t="s">
        <x:v>685</x:v>
      </x:c>
      <x:c r="E363" s="159">
        <x:v>50</x:v>
      </x:c>
      <x:c r="F363" s="25" t="s">
        <x:v>98</x:v>
      </x:c>
      <x:c r="G363" s="25" t="s">
        <x:v>564</x:v>
      </x:c>
      <x:c r="H363" s="143">
        <x:v>46725</x:v>
      </x:c>
      <x:c r="I363" s="125">
        <x:v>18.93</x:v>
      </x:c>
      <x:c r="J363" s="125">
        <x:v>46136</x:v>
      </x:c>
      <x:c r="K363" s="25" t="s">
        <x:v>333</x:v>
      </x:c>
      <x:c r="L363" s="125"/>
      <x:c r="M363" s="125"/>
    </x:row>
    <x:row r="364" spans="1:13" ht="22.050000000000001">
      <x:c r="A364" s="20" t="s">
        <x:v>547</x:v>
      </x:c>
      <x:c r="B364" s="20" t="s">
        <x:v>573</x:v>
      </x:c>
      <x:c r="C364" s="123" t="s">
        <x:v>710</x:v>
      </x:c>
      <x:c r="D364" s="123" t="s">
        <x:v>685</x:v>
      </x:c>
      <x:c r="E364" s="157">
        <x:v>30</x:v>
      </x:c>
      <x:c r="F364" s="20" t="s">
        <x:v>98</x:v>
      </x:c>
      <x:c r="G364" s="20" t="s">
        <x:v>617</x:v>
      </x:c>
      <x:c r="H364" s="141">
        <x:v>46725</x:v>
      </x:c>
      <x:c r="I364" s="123">
        <x:v>18.93</x:v>
      </x:c>
      <x:c r="J364" s="127"/>
      <x:c r="K364" s="22"/>
      <x:c r="L364" s="125"/>
      <x:c r="M364" s="125"/>
    </x:row>
    <x:row r="365" spans="1:13" ht="22.050000000000001">
      <x:c r="A365" s="23" t="s">
        <x:v>547</x:v>
      </x:c>
      <x:c r="B365" s="23" t="s">
        <x:v>573</x:v>
      </x:c>
      <x:c r="C365" s="124" t="s">
        <x:v>736</x:v>
      </x:c>
      <x:c r="D365" s="124">
        <x:v>969</x:v>
      </x:c>
      <x:c r="E365" s="158">
        <x:v>17</x:v>
      </x:c>
      <x:c r="F365" s="23" t="s">
        <x:v>955</x:v>
      </x:c>
      <x:c r="G365" s="23" t="s">
        <x:v>617</x:v>
      </x:c>
      <x:c r="H365" s="142">
        <x:v>46739</x:v>
      </x:c>
      <x:c r="I365" s="124">
        <x:v>19.109999999999999</x:v>
      </x:c>
      <x:c r="J365" s="125"/>
      <x:c r="K365" s="25"/>
      <x:c r="L365" s="127"/>
      <x:c r="M365" s="127"/>
    </x:row>
    <x:row r="366" spans="1:13" ht="22.050000000000001">
      <x:c r="A366" s="22" t="s">
        <x:v>547</x:v>
      </x:c>
      <x:c r="B366" s="22" t="s">
        <x:v>573</x:v>
      </x:c>
      <x:c r="C366" s="127" t="s">
        <x:v>736</x:v>
      </x:c>
      <x:c r="D366" s="127">
        <x:v>969</x:v>
      </x:c>
      <x:c r="E366" s="160">
        <x:v>5</x:v>
      </x:c>
      <x:c r="F366" s="22" t="s">
        <x:v>955</x:v>
      </x:c>
      <x:c r="G366" s="22" t="s">
        <x:v>617</x:v>
      </x:c>
      <x:c r="H366" s="144">
        <x:v>46739</x:v>
      </x:c>
      <x:c r="I366" s="127">
        <x:v>19.109999999999999</x:v>
      </x:c>
      <x:c r="J366" s="127">
        <x:v>46136</x:v>
      </x:c>
      <x:c r="K366" s="22" t="s">
        <x:v>386</x:v>
      </x:c>
      <x:c r="L366" s="125"/>
      <x:c r="M366" s="125"/>
    </x:row>
    <x:row r="367" spans="1:13" ht="22.050000000000001">
      <x:c r="A367" s="23" t="s">
        <x:v>547</x:v>
      </x:c>
      <x:c r="B367" s="23" t="s">
        <x:v>573</x:v>
      </x:c>
      <x:c r="C367" s="124" t="s">
        <x:v>636</x:v>
      </x:c>
      <x:c r="D367" s="124">
        <x:v>969</x:v>
      </x:c>
      <x:c r="E367" s="158">
        <x:v>6</x:v>
      </x:c>
      <x:c r="F367" s="23" t="s">
        <x:v>943</x:v>
      </x:c>
      <x:c r="G367" s="23" t="s">
        <x:v>652</x:v>
      </x:c>
      <x:c r="H367" s="142">
        <x:v>46697</x:v>
      </x:c>
      <x:c r="I367" s="124">
        <x:v>34.869999999999997</x:v>
      </x:c>
      <x:c r="J367" s="125"/>
      <x:c r="K367" s="25"/>
      <x:c r="L367" s="127"/>
      <x:c r="M367" s="127"/>
    </x:row>
    <x:row r="368" spans="1:13" ht="22.050000000000001">
      <x:c r="A368" s="20" t="s">
        <x:v>547</x:v>
      </x:c>
      <x:c r="B368" s="20" t="s">
        <x:v>573</x:v>
      </x:c>
      <x:c r="C368" s="123" t="s">
        <x:v>636</x:v>
      </x:c>
      <x:c r="D368" s="123">
        <x:v>969</x:v>
      </x:c>
      <x:c r="E368" s="157">
        <x:v>26</x:v>
      </x:c>
      <x:c r="F368" s="20" t="s">
        <x:v>964</x:v>
      </x:c>
      <x:c r="G368" s="20" t="s">
        <x:v>617</x:v>
      </x:c>
      <x:c r="H368" s="141">
        <x:v>46730</x:v>
      </x:c>
      <x:c r="I368" s="123">
        <x:v>36.450000000000003</x:v>
      </x:c>
      <x:c r="J368" s="127"/>
      <x:c r="K368" s="22"/>
      <x:c r="L368" s="127"/>
      <x:c r="M368" s="127"/>
    </x:row>
    <x:row r="369" spans="1:13" ht="22.050000000000001">
      <x:c r="A369" s="25" t="s">
        <x:v>547</x:v>
      </x:c>
      <x:c r="B369" s="25" t="s">
        <x:v>573</x:v>
      </x:c>
      <x:c r="C369" s="125" t="s">
        <x:v>636</x:v>
      </x:c>
      <x:c r="D369" s="125" t="s">
        <x:v>540</x:v>
      </x:c>
      <x:c r="E369" s="159">
        <x:v>1</x:v>
      </x:c>
      <x:c r="F369" s="25" t="s">
        <x:v>109</x:v>
      </x:c>
      <x:c r="G369" s="25" t="s">
        <x:v>666</x:v>
      </x:c>
      <x:c r="H369" s="143">
        <x:v>46737</x:v>
      </x:c>
      <x:c r="I369" s="125">
        <x:v>36.799999999999997</x:v>
      </x:c>
      <x:c r="J369" s="125"/>
      <x:c r="K369" s="25" t="s">
        <x:v>377</x:v>
      </x:c>
      <x:c r="L369" s="127"/>
      <x:c r="M369" s="127"/>
    </x:row>
    <x:row r="370" spans="1:13" ht="22.050000000000001">
      <x:c r="A370" s="20" t="s">
        <x:v>547</x:v>
      </x:c>
      <x:c r="B370" s="20" t="s">
        <x:v>573</x:v>
      </x:c>
      <x:c r="C370" s="123" t="s">
        <x:v>636</x:v>
      </x:c>
      <x:c r="D370" s="123" t="s">
        <x:v>540</x:v>
      </x:c>
      <x:c r="E370" s="157">
        <x:v>38</x:v>
      </x:c>
      <x:c r="F370" s="20" t="s">
        <x:v>109</x:v>
      </x:c>
      <x:c r="G370" s="20" t="s">
        <x:v>666</x:v>
      </x:c>
      <x:c r="H370" s="141">
        <x:v>46737</x:v>
      </x:c>
      <x:c r="I370" s="123">
        <x:v>36.799999999999997</x:v>
      </x:c>
      <x:c r="J370" s="127"/>
      <x:c r="K370" s="22"/>
      <x:c r="L370" s="127"/>
      <x:c r="M370" s="127"/>
    </x:row>
    <x:row r="371" spans="1:13" ht="22.050000000000001">
      <x:c r="A371" s="25" t="s">
        <x:v>547</x:v>
      </x:c>
      <x:c r="B371" s="25" t="s">
        <x:v>573</x:v>
      </x:c>
      <x:c r="C371" s="125" t="s">
        <x:v>636</x:v>
      </x:c>
      <x:c r="D371" s="125" t="s">
        <x:v>540</x:v>
      </x:c>
      <x:c r="E371" s="159">
        <x:v>50</x:v>
      </x:c>
      <x:c r="F371" s="25" t="s">
        <x:v>966</x:v>
      </x:c>
      <x:c r="G371" s="25" t="s">
        <x:v>694</x:v>
      </x:c>
      <x:c r="H371" s="143">
        <x:v>46763</x:v>
      </x:c>
      <x:c r="I371" s="125">
        <x:v>34.359999999999999</x:v>
      </x:c>
      <x:c r="J371" s="125">
        <x:v>46136</x:v>
      </x:c>
      <x:c r="K371" s="25" t="s">
        <x:v>1040</x:v>
      </x:c>
      <x:c r="L371" s="125"/>
      <x:c r="M371" s="125"/>
    </x:row>
    <x:row r="372" spans="1:13" ht="22.050000000000001">
      <x:c r="A372" s="20" t="s">
        <x:v>547</x:v>
      </x:c>
      <x:c r="B372" s="20" t="s">
        <x:v>573</x:v>
      </x:c>
      <x:c r="C372" s="123" t="s">
        <x:v>636</x:v>
      </x:c>
      <x:c r="D372" s="123">
        <x:v>969</x:v>
      </x:c>
      <x:c r="E372" s="157">
        <x:v>1</x:v>
      </x:c>
      <x:c r="F372" s="20" t="s">
        <x:v>903</x:v>
      </x:c>
      <x:c r="G372" s="20" t="s">
        <x:v>564</x:v>
      </x:c>
      <x:c r="H372" s="141">
        <x:v>46788</x:v>
      </x:c>
      <x:c r="I372" s="123">
        <x:v>33.43</x:v>
      </x:c>
      <x:c r="J372" s="127"/>
      <x:c r="K372" s="22" t="s">
        <x:v>759</x:v>
      </x:c>
      <x:c r="L372" s="127"/>
      <x:c r="M372" s="127"/>
    </x:row>
    <x:row r="373" spans="1:13" ht="22.050000000000001">
      <x:c r="A373" s="23" t="s">
        <x:v>547</x:v>
      </x:c>
      <x:c r="B373" s="23" t="s">
        <x:v>573</x:v>
      </x:c>
      <x:c r="C373" s="124" t="s">
        <x:v>636</x:v>
      </x:c>
      <x:c r="D373" s="124" t="s">
        <x:v>540</x:v>
      </x:c>
      <x:c r="E373" s="158">
        <x:v>44</x:v>
      </x:c>
      <x:c r="F373" s="23" t="s">
        <x:v>967</x:v>
      </x:c>
      <x:c r="G373" s="23" t="s">
        <x:v>639</x:v>
      </x:c>
      <x:c r="H373" s="142">
        <x:v>46788</x:v>
      </x:c>
      <x:c r="I373" s="124">
        <x:v>35.049999999999997</x:v>
      </x:c>
      <x:c r="J373" s="125"/>
      <x:c r="K373" s="25"/>
      <x:c r="L373" s="127"/>
      <x:c r="M373" s="127"/>
    </x:row>
    <x:row r="374" spans="1:13" ht="22.050000000000001">
      <x:c r="A374" s="20" t="s">
        <x:v>547</x:v>
      </x:c>
      <x:c r="B374" s="20" t="s">
        <x:v>573</x:v>
      </x:c>
      <x:c r="C374" s="123" t="s">
        <x:v>636</x:v>
      </x:c>
      <x:c r="D374" s="123">
        <x:v>969</x:v>
      </x:c>
      <x:c r="E374" s="157">
        <x:v>638</x:v>
      </x:c>
      <x:c r="F374" s="20" t="s">
        <x:v>903</x:v>
      </x:c>
      <x:c r="G374" s="20" t="s">
        <x:v>564</x:v>
      </x:c>
      <x:c r="H374" s="141">
        <x:v>46788</x:v>
      </x:c>
      <x:c r="I374" s="123">
        <x:v>34.289999999999999</x:v>
      </x:c>
      <x:c r="J374" s="127"/>
      <x:c r="K374" s="22"/>
      <x:c r="L374" s="127"/>
      <x:c r="M374" s="127"/>
    </x:row>
    <x:row r="375" spans="1:13" ht="22.050000000000001">
      <x:c r="A375" s="25" t="s">
        <x:v>547</x:v>
      </x:c>
      <x:c r="B375" s="25" t="s">
        <x:v>573</x:v>
      </x:c>
      <x:c r="C375" s="125" t="s">
        <x:v>636</x:v>
      </x:c>
      <x:c r="D375" s="125">
        <x:v>969</x:v>
      </x:c>
      <x:c r="E375" s="159">
        <x:v>7</x:v>
      </x:c>
      <x:c r="F375" s="25" t="s">
        <x:v>903</x:v>
      </x:c>
      <x:c r="G375" s="25" t="s">
        <x:v>564</x:v>
      </x:c>
      <x:c r="H375" s="143">
        <x:v>46788</x:v>
      </x:c>
      <x:c r="I375" s="125">
        <x:v>34.289999999999999</x:v>
      </x:c>
      <x:c r="J375" s="125">
        <x:v>46136</x:v>
      </x:c>
      <x:c r="K375" s="25" t="s">
        <x:v>740</x:v>
      </x:c>
      <x:c r="L375" s="125"/>
      <x:c r="M375" s="125"/>
    </x:row>
    <x:row r="376" spans="1:13" ht="22.050000000000001">
      <x:c r="A376" s="22" t="s">
        <x:v>1027</x:v>
      </x:c>
      <x:c r="B376" s="22" t="s">
        <x:v>533</x:v>
      </x:c>
      <x:c r="C376" s="127" t="s">
        <x:v>668</x:v>
      </x:c>
      <x:c r="D376" s="127">
        <x:v>93</x:v>
      </x:c>
      <x:c r="E376" s="160">
        <x:v>17</x:v>
      </x:c>
      <x:c r="F376" s="22" t="s">
        <x:v>934</x:v>
      </x:c>
      <x:c r="G376" s="22" t="s">
        <x:v>617</x:v>
      </x:c>
      <x:c r="H376" s="144">
        <x:v>46383</x:v>
      </x:c>
      <x:c r="I376" s="127">
        <x:v>27.5</x:v>
      </x:c>
      <x:c r="J376" s="127"/>
      <x:c r="K376" s="22" t="s">
        <x:v>358</x:v>
      </x:c>
      <x:c r="L376" s="127"/>
      <x:c r="M376" s="127"/>
    </x:row>
    <x:row r="377" spans="1:13" ht="22.050000000000001">
      <x:c r="A377" s="23" t="s">
        <x:v>1027</x:v>
      </x:c>
      <x:c r="B377" s="23" t="s">
        <x:v>533</x:v>
      </x:c>
      <x:c r="C377" s="124"/>
      <x:c r="D377" s="124" t="s">
        <x:v>670</x:v>
      </x:c>
      <x:c r="E377" s="158">
        <x:v>13</x:v>
      </x:c>
      <x:c r="F377" s="23" t="s">
        <x:v>112</x:v>
      </x:c>
      <x:c r="G377" s="23" t="s">
        <x:v>617</x:v>
      </x:c>
      <x:c r="H377" s="142">
        <x:v>46447</x:v>
      </x:c>
      <x:c r="I377" s="124">
        <x:v>27.359999999999999</x:v>
      </x:c>
      <x:c r="J377" s="125"/>
      <x:c r="K377" s="25"/>
      <x:c r="L377" s="127"/>
      <x:c r="M377" s="127"/>
    </x:row>
    <x:row r="378" spans="1:13" ht="22.050000000000001">
      <x:c r="A378" s="22" t="s">
        <x:v>1027</x:v>
      </x:c>
      <x:c r="B378" s="22" t="s">
        <x:v>533</x:v>
      </x:c>
      <x:c r="C378" s="127"/>
      <x:c r="D378" s="127" t="s">
        <x:v>670</x:v>
      </x:c>
      <x:c r="E378" s="160">
        <x:v>20</x:v>
      </x:c>
      <x:c r="F378" s="22" t="s">
        <x:v>112</x:v>
      </x:c>
      <x:c r="G378" s="22" t="s">
        <x:v>617</x:v>
      </x:c>
      <x:c r="H378" s="144">
        <x:v>46447</x:v>
      </x:c>
      <x:c r="I378" s="127">
        <x:v>27.359999999999999</x:v>
      </x:c>
      <x:c r="J378" s="127"/>
      <x:c r="K378" s="22" t="s">
        <x:v>1069</x:v>
      </x:c>
      <x:c r="L378" s="127"/>
      <x:c r="M378" s="127"/>
    </x:row>
    <x:row r="379" spans="1:13" ht="22.050000000000001">
      <x:c r="A379" s="23" t="s">
        <x:v>1027</x:v>
      </x:c>
      <x:c r="B379" s="23" t="s">
        <x:v>533</x:v>
      </x:c>
      <x:c r="C379" s="124"/>
      <x:c r="D379" s="124" t="s">
        <x:v>670</x:v>
      </x:c>
      <x:c r="E379" s="158">
        <x:v>136</x:v>
      </x:c>
      <x:c r="F379" s="23" t="s">
        <x:v>937</x:v>
      </x:c>
      <x:c r="G379" s="23" t="s">
        <x:v>722</x:v>
      </x:c>
      <x:c r="H379" s="142">
        <x:v>46696</x:v>
      </x:c>
      <x:c r="I379" s="124">
        <x:v>27.420000000000002</x:v>
      </x:c>
      <x:c r="J379" s="125"/>
      <x:c r="K379" s="25"/>
      <x:c r="L379" s="127"/>
      <x:c r="M379" s="127"/>
    </x:row>
    <x:row r="380" spans="1:13" ht="22.050000000000001">
      <x:c r="A380" s="20" t="s">
        <x:v>1027</x:v>
      </x:c>
      <x:c r="B380" s="20" t="s">
        <x:v>533</x:v>
      </x:c>
      <x:c r="C380" s="123"/>
      <x:c r="D380" s="123" t="s">
        <x:v>625</x:v>
      </x:c>
      <x:c r="E380" s="157">
        <x:v>84</x:v>
      </x:c>
      <x:c r="F380" s="20" t="s">
        <x:v>38</x:v>
      </x:c>
      <x:c r="G380" s="20" t="s">
        <x:v>290</x:v>
      </x:c>
      <x:c r="H380" s="141">
        <x:v>46721</x:v>
      </x:c>
      <x:c r="I380" s="123">
        <x:v>28.489999999999998</x:v>
      </x:c>
      <x:c r="J380" s="127"/>
      <x:c r="K380" s="22"/>
      <x:c r="L380" s="127"/>
      <x:c r="M380" s="127"/>
    </x:row>
    <x:row r="381" spans="1:13" ht="22.050000000000001">
      <x:c r="A381" s="31" t="s">
        <x:v>1027</x:v>
      </x:c>
      <x:c r="B381" s="31" t="s">
        <x:v>533</x:v>
      </x:c>
      <x:c r="C381" s="124"/>
      <x:c r="D381" s="124" t="s">
        <x:v>670</x:v>
      </x:c>
      <x:c r="E381" s="158">
        <x:v>157</x:v>
      </x:c>
      <x:c r="F381" s="31" t="s">
        <x:v>104</x:v>
      </x:c>
      <x:c r="G381" s="31" t="s">
        <x:v>290</x:v>
      </x:c>
      <x:c r="H381" s="142">
        <x:v>46751</x:v>
      </x:c>
      <x:c r="I381" s="124">
        <x:v>27.41</x:v>
      </x:c>
      <x:c r="J381" s="125"/>
      <x:c r="K381" s="25"/>
      <x:c r="L381" s="127"/>
      <x:c r="M381" s="127"/>
    </x:row>
    <x:row r="382" spans="1:13" ht="22.050000000000001">
      <x:c r="A382" s="20" t="s">
        <x:v>407</x:v>
      </x:c>
      <x:c r="B382" s="20" t="s">
        <x:v>359</x:v>
      </x:c>
      <x:c r="C382" s="123" t="s">
        <x:v>704</x:v>
      </x:c>
      <x:c r="D382" s="123" t="s">
        <x:v>758</x:v>
      </x:c>
      <x:c r="E382" s="157">
        <x:v>2</x:v>
      </x:c>
      <x:c r="F382" s="20">
        <x:v>20260331</x:v>
      </x:c>
      <x:c r="G382" s="20" t="s">
        <x:v>617</x:v>
      </x:c>
      <x:c r="H382" s="141"/>
      <x:c r="I382" s="123">
        <x:v>9</x:v>
      </x:c>
      <x:c r="J382" s="127"/>
      <x:c r="K382" s="22"/>
      <x:c r="L382" s="127"/>
      <x:c r="M382" s="127"/>
    </x:row>
    <x:row r="383" spans="1:13" ht="22.050000000000001">
      <x:c r="A383" s="23" t="s">
        <x:v>407</x:v>
      </x:c>
      <x:c r="B383" s="23" t="s">
        <x:v>359</x:v>
      </x:c>
      <x:c r="C383" s="124" t="s">
        <x:v>704</x:v>
      </x:c>
      <x:c r="D383" s="124" t="s">
        <x:v>758</x:v>
      </x:c>
      <x:c r="E383" s="158">
        <x:v>5</x:v>
      </x:c>
      <x:c r="F383" s="23">
        <x:v>20260331</x:v>
      </x:c>
      <x:c r="G383" s="23" t="s">
        <x:v>617</x:v>
      </x:c>
      <x:c r="H383" s="142"/>
      <x:c r="I383" s="124">
        <x:v>9</x:v>
      </x:c>
      <x:c r="J383" s="125"/>
      <x:c r="K383" s="25"/>
      <x:c r="L383" s="127"/>
      <x:c r="M383" s="127"/>
    </x:row>
    <x:row r="384" spans="1:13" ht="22.050000000000001">
      <x:c r="A384" s="20" t="s">
        <x:v>407</x:v>
      </x:c>
      <x:c r="B384" s="20" t="s">
        <x:v>378</x:v>
      </x:c>
      <x:c r="C384" s="123" t="s">
        <x:v>704</x:v>
      </x:c>
      <x:c r="D384" s="123" t="s">
        <x:v>758</x:v>
      </x:c>
      <x:c r="E384" s="157">
        <x:v>4</x:v>
      </x:c>
      <x:c r="F384" s="20">
        <x:v>20260304</x:v>
      </x:c>
      <x:c r="G384" s="20" t="s">
        <x:v>617</x:v>
      </x:c>
      <x:c r="H384" s="141"/>
      <x:c r="I384" s="123">
        <x:v>9</x:v>
      </x:c>
      <x:c r="J384" s="127"/>
      <x:c r="K384" s="22"/>
      <x:c r="L384" s="127"/>
      <x:c r="M384" s="127"/>
    </x:row>
    <x:row r="385" spans="1:13" ht="22.050000000000001">
      <x:c r="A385" s="23" t="s">
        <x:v>407</x:v>
      </x:c>
      <x:c r="B385" s="23" t="s">
        <x:v>378</x:v>
      </x:c>
      <x:c r="C385" s="124" t="s">
        <x:v>704</x:v>
      </x:c>
      <x:c r="D385" s="124" t="s">
        <x:v>770</x:v>
      </x:c>
      <x:c r="E385" s="158">
        <x:v>5</x:v>
      </x:c>
      <x:c r="F385" s="23">
        <x:v>20260408</x:v>
      </x:c>
      <x:c r="G385" s="23" t="s">
        <x:v>617</x:v>
      </x:c>
      <x:c r="H385" s="142"/>
      <x:c r="I385" s="124">
        <x:v>9</x:v>
      </x:c>
      <x:c r="J385" s="125"/>
      <x:c r="K385" s="25"/>
      <x:c r="L385" s="127"/>
      <x:c r="M385" s="127"/>
    </x:row>
    <x:row r="386" spans="1:13" ht="22.050000000000001">
      <x:c r="A386" s="20" t="s">
        <x:v>407</x:v>
      </x:c>
      <x:c r="B386" s="20" t="s">
        <x:v>344</x:v>
      </x:c>
      <x:c r="C386" s="123" t="s">
        <x:v>704</x:v>
      </x:c>
      <x:c r="D386" s="123" t="s">
        <x:v>770</x:v>
      </x:c>
      <x:c r="E386" s="157">
        <x:v>2</x:v>
      </x:c>
      <x:c r="F386" s="20">
        <x:v>20260409</x:v>
      </x:c>
      <x:c r="G386" s="20" t="s">
        <x:v>617</x:v>
      </x:c>
      <x:c r="H386" s="141"/>
      <x:c r="I386" s="123">
        <x:v>9</x:v>
      </x:c>
      <x:c r="J386" s="127"/>
      <x:c r="K386" s="22"/>
      <x:c r="L386" s="127"/>
      <x:c r="M386" s="127"/>
    </x:row>
    <x:row r="387" spans="1:13" ht="22.050000000000001">
      <x:c r="A387" s="23" t="s">
        <x:v>737</x:v>
      </x:c>
      <x:c r="B387" s="23" t="s">
        <x:v>362</x:v>
      </x:c>
      <x:c r="C387" s="124" t="s">
        <x:v>667</x:v>
      </x:c>
      <x:c r="D387" s="124">
        <x:v>1912</x:v>
      </x:c>
      <x:c r="E387" s="158">
        <x:v>14</x:v>
      </x:c>
      <x:c r="F387" s="23" t="s">
        <x:v>93</x:v>
      </x:c>
      <x:c r="G387" s="23" t="s">
        <x:v>617</x:v>
      </x:c>
      <x:c r="H387" s="142">
        <x:v>46631</x:v>
      </x:c>
      <x:c r="I387" s="124">
        <x:v>21.469999999999999</x:v>
      </x:c>
      <x:c r="J387" s="125"/>
      <x:c r="K387" s="25"/>
      <x:c r="L387" s="127"/>
      <x:c r="M387" s="127"/>
    </x:row>
    <x:row r="388" spans="1:13" ht="22.050000000000001">
      <x:c r="A388" s="20" t="s">
        <x:v>718</x:v>
      </x:c>
      <x:c r="B388" s="20" t="s">
        <x:v>362</x:v>
      </x:c>
      <x:c r="C388" s="123" t="s">
        <x:v>667</x:v>
      </x:c>
      <x:c r="D388" s="123">
        <x:v>640</x:v>
      </x:c>
      <x:c r="E388" s="157">
        <x:v>14</x:v>
      </x:c>
      <x:c r="F388" s="20" t="s">
        <x:v>87</x:v>
      </x:c>
      <x:c r="G388" s="20" t="s">
        <x:v>617</x:v>
      </x:c>
      <x:c r="H388" s="141">
        <x:v>46550</x:v>
      </x:c>
      <x:c r="I388" s="123">
        <x:v>19.789999999999999</x:v>
      </x:c>
      <x:c r="J388" s="127"/>
      <x:c r="K388" s="22"/>
      <x:c r="L388" s="127"/>
      <x:c r="M388" s="127"/>
    </x:row>
    <x:row r="389" spans="1:13" ht="22.050000000000001">
      <x:c r="A389" s="23" t="s">
        <x:v>718</x:v>
      </x:c>
      <x:c r="B389" s="23" t="s">
        <x:v>362</x:v>
      </x:c>
      <x:c r="C389" s="124" t="s">
        <x:v>667</x:v>
      </x:c>
      <x:c r="D389" s="124">
        <x:v>640</x:v>
      </x:c>
      <x:c r="E389" s="158">
        <x:v>16</x:v>
      </x:c>
      <x:c r="F389" s="23" t="s">
        <x:v>73</x:v>
      </x:c>
      <x:c r="G389" s="23" t="s">
        <x:v>290</x:v>
      </x:c>
      <x:c r="H389" s="142">
        <x:v>46698</x:v>
      </x:c>
      <x:c r="I389" s="124">
        <x:v>19.27</x:v>
      </x:c>
      <x:c r="J389" s="125"/>
      <x:c r="K389" s="25"/>
      <x:c r="L389" s="125"/>
      <x:c r="M389" s="125"/>
    </x:row>
    <x:row r="390" spans="1:13" ht="22.050000000000001">
      <x:c r="A390" s="20" t="s">
        <x:v>718</x:v>
      </x:c>
      <x:c r="B390" s="20" t="s">
        <x:v>362</x:v>
      </x:c>
      <x:c r="C390" s="123" t="s">
        <x:v>667</x:v>
      </x:c>
      <x:c r="D390" s="123">
        <x:v>640</x:v>
      </x:c>
      <x:c r="E390" s="157">
        <x:v>27</x:v>
      </x:c>
      <x:c r="F390" s="20" t="s">
        <x:v>89</x:v>
      </x:c>
      <x:c r="G390" s="20" t="s">
        <x:v>290</x:v>
      </x:c>
      <x:c r="H390" s="141">
        <x:v>46798</x:v>
      </x:c>
      <x:c r="I390" s="123">
        <x:v>18.120000000000001</x:v>
      </x:c>
      <x:c r="J390" s="127"/>
      <x:c r="K390" s="22"/>
      <x:c r="L390" s="127"/>
      <x:c r="M390" s="127"/>
    </x:row>
    <x:row r="391" spans="1:13" ht="22.050000000000001">
      <x:c r="A391" s="23" t="s">
        <x:v>718</x:v>
      </x:c>
      <x:c r="B391" s="31" t="s">
        <x:v>362</x:v>
      </x:c>
      <x:c r="C391" s="124" t="s">
        <x:v>667</x:v>
      </x:c>
      <x:c r="D391" s="124">
        <x:v>640</x:v>
      </x:c>
      <x:c r="E391" s="158">
        <x:v>211</x:v>
      </x:c>
      <x:c r="F391" s="23" t="s">
        <x:v>971</x:v>
      </x:c>
      <x:c r="G391" s="23" t="s">
        <x:v>290</x:v>
      </x:c>
      <x:c r="H391" s="142">
        <x:v>46809</x:v>
      </x:c>
      <x:c r="I391" s="124">
        <x:v>19.68</x:v>
      </x:c>
      <x:c r="J391" s="125"/>
      <x:c r="K391" s="25"/>
      <x:c r="L391" s="127"/>
      <x:c r="M391" s="127"/>
    </x:row>
    <x:row r="392" spans="1:13" ht="22.050000000000001">
      <x:c r="A392" s="20" t="s">
        <x:v>718</x:v>
      </x:c>
      <x:c r="B392" s="20" t="s">
        <x:v>311</x:v>
      </x:c>
      <x:c r="C392" s="123" t="s">
        <x:v>668</x:v>
      </x:c>
      <x:c r="D392" s="123">
        <x:v>7</x:v>
      </x:c>
      <x:c r="E392" s="157">
        <x:v>100</x:v>
      </x:c>
      <x:c r="F392" s="20" t="s">
        <x:v>1045</x:v>
      </x:c>
      <x:c r="G392" s="20" t="s">
        <x:v>664</x:v>
      </x:c>
      <x:c r="H392" s="141">
        <x:v>46430</x:v>
      </x:c>
      <x:c r="I392" s="123">
        <x:v>20.890000000000001</x:v>
      </x:c>
      <x:c r="J392" s="127"/>
      <x:c r="K392" s="22"/>
      <x:c r="L392" s="127"/>
      <x:c r="M392" s="127"/>
    </x:row>
    <x:row r="393" spans="1:13" ht="22.050000000000001">
      <x:c r="A393" s="23" t="s">
        <x:v>718</x:v>
      </x:c>
      <x:c r="B393" s="23" t="s">
        <x:v>311</x:v>
      </x:c>
      <x:c r="C393" s="124" t="s">
        <x:v>692</x:v>
      </x:c>
      <x:c r="D393" s="124">
        <x:v>423</x:v>
      </x:c>
      <x:c r="E393" s="158">
        <x:v>5</x:v>
      </x:c>
      <x:c r="F393" s="23" t="s">
        <x:v>77</x:v>
      </x:c>
      <x:c r="G393" s="23" t="s">
        <x:v>617</x:v>
      </x:c>
      <x:c r="H393" s="142">
        <x:v>46631</x:v>
      </x:c>
      <x:c r="I393" s="124">
        <x:v>21.25</x:v>
      </x:c>
      <x:c r="J393" s="125"/>
      <x:c r="K393" s="25"/>
      <x:c r="L393" s="127"/>
      <x:c r="M393" s="127"/>
    </x:row>
    <x:row r="394" spans="1:13" ht="22.050000000000001">
      <x:c r="A394" s="20" t="s">
        <x:v>663</x:v>
      </x:c>
      <x:c r="B394" s="20" t="s">
        <x:v>533</x:v>
      </x:c>
      <x:c r="C394" s="123" t="s">
        <x:v>657</x:v>
      </x:c>
      <x:c r="D394" s="123">
        <x:v>93</x:v>
      </x:c>
      <x:c r="E394" s="157">
        <x:v>154</x:v>
      </x:c>
      <x:c r="F394" s="20" t="s">
        <x:v>975</x:v>
      </x:c>
      <x:c r="G394" s="30" t="s">
        <x:v>679</x:v>
      </x:c>
      <x:c r="H394" s="141">
        <x:v>46718</x:v>
      </x:c>
      <x:c r="I394" s="129">
        <x:v>26.699999999999999</x:v>
      </x:c>
      <x:c r="J394" s="127"/>
      <x:c r="K394" s="22"/>
      <x:c r="L394" s="127"/>
      <x:c r="M394" s="127"/>
    </x:row>
    <x:row r="395" spans="1:13" ht="22.050000000000001">
      <x:c r="A395" s="23" t="s">
        <x:v>663</x:v>
      </x:c>
      <x:c r="B395" s="23" t="s">
        <x:v>533</x:v>
      </x:c>
      <x:c r="C395" s="124" t="s">
        <x:v>631</x:v>
      </x:c>
      <x:c r="D395" s="124" t="s">
        <x:v>635</x:v>
      </x:c>
      <x:c r="E395" s="158">
        <x:v>44</x:v>
      </x:c>
      <x:c r="F395" s="23" t="s">
        <x:v>910</x:v>
      </x:c>
      <x:c r="G395" s="23" t="s">
        <x:v>679</x:v>
      </x:c>
      <x:c r="H395" s="142">
        <x:v>46746</x:v>
      </x:c>
      <x:c r="I395" s="124">
        <x:v>28.07</x:v>
      </x:c>
      <x:c r="J395" s="125"/>
      <x:c r="K395" s="25"/>
      <x:c r="L395" s="127"/>
      <x:c r="M395" s="127"/>
    </x:row>
    <x:row r="396" spans="1:13" ht="22.050000000000001">
      <x:c r="A396" s="20" t="s">
        <x:v>663</x:v>
      </x:c>
      <x:c r="B396" s="20" t="s">
        <x:v>533</x:v>
      </x:c>
      <x:c r="C396" s="123" t="s">
        <x:v>626</x:v>
      </x:c>
      <x:c r="D396" s="123" t="s">
        <x:v>618</x:v>
      </x:c>
      <x:c r="E396" s="157">
        <x:v>150</x:v>
      </x:c>
      <x:c r="F396" s="20" t="s">
        <x:v>922</x:v>
      </x:c>
      <x:c r="G396" s="20" t="s">
        <x:v>679</x:v>
      </x:c>
      <x:c r="H396" s="141">
        <x:v>46737</x:v>
      </x:c>
      <x:c r="I396" s="123">
        <x:v>26.59</x:v>
      </x:c>
      <x:c r="J396" s="127"/>
      <x:c r="K396" s="22"/>
      <x:c r="L396" s="127"/>
      <x:c r="M396" s="127"/>
    </x:row>
    <x:row r="397" spans="1:13" ht="22.050000000000001">
      <x:c r="A397" s="25" t="s">
        <x:v>663</x:v>
      </x:c>
      <x:c r="B397" s="25" t="s">
        <x:v>533</x:v>
      </x:c>
      <x:c r="C397" s="125" t="s">
        <x:v>616</x:v>
      </x:c>
      <x:c r="D397" s="125" t="s">
        <x:v>625</x:v>
      </x:c>
      <x:c r="E397" s="159">
        <x:v>30</x:v>
      </x:c>
      <x:c r="F397" s="25" t="s">
        <x:v>67</x:v>
      </x:c>
      <x:c r="G397" s="25" t="s">
        <x:v>617</x:v>
      </x:c>
      <x:c r="H397" s="143">
        <x:v>46707</x:v>
      </x:c>
      <x:c r="I397" s="125">
        <x:v>24.75</x:v>
      </x:c>
      <x:c r="J397" s="125"/>
      <x:c r="K397" s="25" t="s">
        <x:v>761</x:v>
      </x:c>
      <x:c r="L397" s="127"/>
      <x:c r="M397" s="127"/>
    </x:row>
    <x:row r="398" spans="1:13" ht="22.050000000000001">
      <x:c r="A398" s="22" t="s">
        <x:v>663</x:v>
      </x:c>
      <x:c r="B398" s="22" t="s">
        <x:v>533</x:v>
      </x:c>
      <x:c r="C398" s="127" t="s">
        <x:v>616</x:v>
      </x:c>
      <x:c r="D398" s="127" t="s">
        <x:v>625</x:v>
      </x:c>
      <x:c r="E398" s="160">
        <x:v>50</x:v>
      </x:c>
      <x:c r="F398" s="22" t="s">
        <x:v>67</x:v>
      </x:c>
      <x:c r="G398" s="22" t="s">
        <x:v>621</x:v>
      </x:c>
      <x:c r="H398" s="144">
        <x:v>46707</x:v>
      </x:c>
      <x:c r="I398" s="127">
        <x:v>24.75</x:v>
      </x:c>
      <x:c r="J398" s="127"/>
      <x:c r="K398" s="22" t="s">
        <x:v>761</x:v>
      </x:c>
      <x:c r="L398" s="127"/>
      <x:c r="M398" s="127"/>
    </x:row>
    <x:row r="399" spans="1:13" ht="22.050000000000001">
      <x:c r="A399" s="25" t="s">
        <x:v>663</x:v>
      </x:c>
      <x:c r="B399" s="25" t="s">
        <x:v>533</x:v>
      </x:c>
      <x:c r="C399" s="125" t="s">
        <x:v>616</x:v>
      </x:c>
      <x:c r="D399" s="125" t="s">
        <x:v>625</x:v>
      </x:c>
      <x:c r="E399" s="159">
        <x:v>108</x:v>
      </x:c>
      <x:c r="F399" s="25" t="s">
        <x:v>67</x:v>
      </x:c>
      <x:c r="G399" s="25" t="s">
        <x:v>621</x:v>
      </x:c>
      <x:c r="H399" s="143">
        <x:v>46707</x:v>
      </x:c>
      <x:c r="I399" s="125">
        <x:v>24.75</x:v>
      </x:c>
      <x:c r="J399" s="125"/>
      <x:c r="K399" s="25" t="s">
        <x:v>761</x:v>
      </x:c>
      <x:c r="L399" s="127"/>
      <x:c r="M399" s="127"/>
    </x:row>
    <x:row r="400" spans="1:13" ht="22.050000000000001">
      <x:c r="A400" s="22" t="s">
        <x:v>663</x:v>
      </x:c>
      <x:c r="B400" s="22" t="s">
        <x:v>533</x:v>
      </x:c>
      <x:c r="C400" s="127" t="s">
        <x:v>578</x:v>
      </x:c>
      <x:c r="D400" s="127" t="s">
        <x:v>670</x:v>
      </x:c>
      <x:c r="E400" s="160">
        <x:v>10</x:v>
      </x:c>
      <x:c r="F400" s="22" t="s">
        <x:v>139</x:v>
      </x:c>
      <x:c r="G400" s="22" t="s">
        <x:v>617</x:v>
      </x:c>
      <x:c r="H400" s="144">
        <x:v>46569</x:v>
      </x:c>
      <x:c r="I400" s="127">
        <x:v>28.300000000000001</x:v>
      </x:c>
      <x:c r="J400" s="127"/>
      <x:c r="K400" s="22" t="s">
        <x:v>750</x:v>
      </x:c>
      <x:c r="L400" s="127"/>
      <x:c r="M400" s="127"/>
    </x:row>
    <x:row r="401" spans="1:13" ht="22.050000000000001">
      <x:c r="A401" s="23" t="s">
        <x:v>663</x:v>
      </x:c>
      <x:c r="B401" s="23" t="s">
        <x:v>362</x:v>
      </x:c>
      <x:c r="C401" s="124" t="s">
        <x:v>667</x:v>
      </x:c>
      <x:c r="D401" s="124">
        <x:v>640</x:v>
      </x:c>
      <x:c r="E401" s="158">
        <x:v>207</x:v>
      </x:c>
      <x:c r="F401" s="23" t="s">
        <x:v>37</x:v>
      </x:c>
      <x:c r="G401" s="23" t="s">
        <x:v>564</x:v>
      </x:c>
      <x:c r="H401" s="142">
        <x:v>46642</x:v>
      </x:c>
      <x:c r="I401" s="124">
        <x:v>19.120000000000001</x:v>
      </x:c>
      <x:c r="J401" s="125"/>
      <x:c r="K401" s="25"/>
      <x:c r="L401" s="127"/>
      <x:c r="M401" s="127"/>
    </x:row>
    <x:row r="402" spans="1:13" ht="22.050000000000001">
      <x:c r="A402" s="22" t="s">
        <x:v>663</x:v>
      </x:c>
      <x:c r="B402" s="22" t="s">
        <x:v>573</x:v>
      </x:c>
      <x:c r="C402" s="127" t="s">
        <x:v>631</x:v>
      </x:c>
      <x:c r="D402" s="127" t="s">
        <x:v>685</x:v>
      </x:c>
      <x:c r="E402" s="160">
        <x:v>92</x:v>
      </x:c>
      <x:c r="F402" s="22" t="s">
        <x:v>983</x:v>
      </x:c>
      <x:c r="G402" s="22" t="s">
        <x:v>722</x:v>
      </x:c>
      <x:c r="H402" s="144">
        <x:v>46731</x:v>
      </x:c>
      <x:c r="I402" s="127">
        <x:v>27.609999999999999</x:v>
      </x:c>
      <x:c r="J402" s="127"/>
      <x:c r="K402" s="39" t="s">
        <x:v>397</x:v>
      </x:c>
      <x:c r="L402" s="127"/>
      <x:c r="M402" s="127"/>
    </x:row>
    <x:row r="403" spans="1:13" ht="22.050000000000001">
      <x:c r="A403" s="31" t="s">
        <x:v>663</x:v>
      </x:c>
      <x:c r="B403" s="31" t="s">
        <x:v>573</x:v>
      </x:c>
      <x:c r="C403" s="124" t="s">
        <x:v>631</x:v>
      </x:c>
      <x:c r="D403" s="124">
        <x:v>969</x:v>
      </x:c>
      <x:c r="E403" s="158">
        <x:v>21</x:v>
      </x:c>
      <x:c r="F403" s="31" t="s">
        <x:v>164</x:v>
      </x:c>
      <x:c r="G403" s="31" t="s">
        <x:v>722</x:v>
      </x:c>
      <x:c r="H403" s="142">
        <x:v>46742</x:v>
      </x:c>
      <x:c r="I403" s="124">
        <x:v>28.309999999999999</x:v>
      </x:c>
      <x:c r="J403" s="125"/>
      <x:c r="K403" s="32"/>
      <x:c r="L403" s="125"/>
      <x:c r="M403" s="125"/>
    </x:row>
    <x:row r="404" spans="1:13" ht="22.050000000000001">
      <x:c r="A404" s="22" t="s">
        <x:v>663</x:v>
      </x:c>
      <x:c r="B404" s="22" t="s">
        <x:v>573</x:v>
      </x:c>
      <x:c r="C404" s="127" t="s">
        <x:v>631</x:v>
      </x:c>
      <x:c r="D404" s="127">
        <x:v>969</x:v>
      </x:c>
      <x:c r="E404" s="160">
        <x:v>30</x:v>
      </x:c>
      <x:c r="F404" s="22" t="s">
        <x:v>164</x:v>
      </x:c>
      <x:c r="G404" s="22" t="s">
        <x:v>617</x:v>
      </x:c>
      <x:c r="H404" s="144">
        <x:v>46742</x:v>
      </x:c>
      <x:c r="I404" s="127">
        <x:v>28.309999999999999</x:v>
      </x:c>
      <x:c r="J404" s="127">
        <x:v>46136</x:v>
      </x:c>
      <x:c r="K404" s="22" t="s">
        <x:v>360</x:v>
      </x:c>
      <x:c r="L404" s="125"/>
      <x:c r="M404" s="125"/>
    </x:row>
    <x:row r="405" spans="1:13" ht="22.050000000000001">
      <x:c r="A405" s="25" t="s">
        <x:v>663</x:v>
      </x:c>
      <x:c r="B405" s="25" t="s">
        <x:v>573</x:v>
      </x:c>
      <x:c r="C405" s="125" t="s">
        <x:v>631</x:v>
      </x:c>
      <x:c r="D405" s="125" t="s">
        <x:v>685</x:v>
      </x:c>
      <x:c r="E405" s="159">
        <x:v>27</x:v>
      </x:c>
      <x:c r="F405" s="25" t="s">
        <x:v>164</x:v>
      </x:c>
      <x:c r="G405" s="25" t="s">
        <x:v>722</x:v>
      </x:c>
      <x:c r="H405" s="143">
        <x:v>46759</x:v>
      </x:c>
      <x:c r="I405" s="125">
        <x:v>27.719999999999999</x:v>
      </x:c>
      <x:c r="J405" s="125"/>
      <x:c r="K405" s="25" t="s">
        <x:v>397</x:v>
      </x:c>
      <x:c r="L405" s="125"/>
      <x:c r="M405" s="125"/>
    </x:row>
    <x:row r="406" spans="1:13" ht="22.050000000000001">
      <x:c r="A406" s="20" t="s">
        <x:v>663</x:v>
      </x:c>
      <x:c r="B406" s="20" t="s">
        <x:v>573</x:v>
      </x:c>
      <x:c r="C406" s="123" t="s">
        <x:v>627</x:v>
      </x:c>
      <x:c r="D406" s="123">
        <x:v>628</x:v>
      </x:c>
      <x:c r="E406" s="157">
        <x:v>45</x:v>
      </x:c>
      <x:c r="F406" s="20" t="s">
        <x:v>1078</x:v>
      </x:c>
      <x:c r="G406" s="20" t="s">
        <x:v>617</x:v>
      </x:c>
      <x:c r="H406" s="141">
        <x:v>46774</x:v>
      </x:c>
      <x:c r="I406" s="123">
        <x:v>27.170000000000002</x:v>
      </x:c>
      <x:c r="J406" s="127"/>
      <x:c r="K406" s="22"/>
      <x:c r="L406" s="127"/>
      <x:c r="M406" s="127"/>
    </x:row>
    <x:row r="407" spans="1:13" ht="22.050000000000001">
      <x:c r="A407" s="23" t="s">
        <x:v>663</x:v>
      </x:c>
      <x:c r="B407" s="23" t="s">
        <x:v>573</x:v>
      </x:c>
      <x:c r="C407" s="124" t="s">
        <x:v>627</x:v>
      </x:c>
      <x:c r="D407" s="124">
        <x:v>628</x:v>
      </x:c>
      <x:c r="E407" s="158">
        <x:v>105</x:v>
      </x:c>
      <x:c r="F407" s="23" t="s">
        <x:v>1078</x:v>
      </x:c>
      <x:c r="G407" s="23" t="s">
        <x:v>722</x:v>
      </x:c>
      <x:c r="H407" s="142">
        <x:v>46774</x:v>
      </x:c>
      <x:c r="I407" s="124">
        <x:v>27.170000000000002</x:v>
      </x:c>
      <x:c r="J407" s="125"/>
      <x:c r="K407" s="25"/>
      <x:c r="L407" s="127"/>
      <x:c r="M407" s="127"/>
    </x:row>
    <x:row r="408" spans="1:13" ht="22.050000000000001">
      <x:c r="A408" s="20" t="s">
        <x:v>663</x:v>
      </x:c>
      <x:c r="B408" s="20" t="s">
        <x:v>573</x:v>
      </x:c>
      <x:c r="C408" s="123" t="s">
        <x:v>616</x:v>
      </x:c>
      <x:c r="D408" s="123">
        <x:v>969</x:v>
      </x:c>
      <x:c r="E408" s="157">
        <x:v>80</x:v>
      </x:c>
      <x:c r="F408" s="20" t="s">
        <x:v>1053</x:v>
      </x:c>
      <x:c r="G408" s="20" t="s">
        <x:v>564</x:v>
      </x:c>
      <x:c r="H408" s="141">
        <x:v>46245</x:v>
      </x:c>
      <x:c r="I408" s="123">
        <x:v>28.41</x:v>
      </x:c>
      <x:c r="J408" s="127"/>
      <x:c r="K408" s="22"/>
      <x:c r="L408" s="127"/>
      <x:c r="M408" s="127"/>
    </x:row>
    <x:row r="409" spans="1:13" ht="22.050000000000001">
      <x:c r="A409" s="25" t="s">
        <x:v>663</x:v>
      </x:c>
      <x:c r="B409" s="25" t="s">
        <x:v>573</x:v>
      </x:c>
      <x:c r="C409" s="125" t="s">
        <x:v>616</x:v>
      </x:c>
      <x:c r="D409" s="125" t="s">
        <x:v>685</x:v>
      </x:c>
      <x:c r="E409" s="159">
        <x:v>20</x:v>
      </x:c>
      <x:c r="F409" s="25" t="s">
        <x:v>80</x:v>
      </x:c>
      <x:c r="G409" s="25" t="s">
        <x:v>564</x:v>
      </x:c>
      <x:c r="H409" s="143">
        <x:v>46501</x:v>
      </x:c>
      <x:c r="I409" s="125">
        <x:v>24.960000000000001</x:v>
      </x:c>
      <x:c r="J409" s="125"/>
      <x:c r="K409" s="25" t="s">
        <x:v>397</x:v>
      </x:c>
      <x:c r="L409" s="127"/>
      <x:c r="M409" s="127"/>
    </x:row>
    <x:row r="410" spans="1:13" ht="22.050000000000001">
      <x:c r="A410" s="20" t="s">
        <x:v>663</x:v>
      </x:c>
      <x:c r="B410" s="20" t="s">
        <x:v>573</x:v>
      </x:c>
      <x:c r="C410" s="123" t="s">
        <x:v>616</x:v>
      </x:c>
      <x:c r="D410" s="123" t="s">
        <x:v>685</x:v>
      </x:c>
      <x:c r="E410" s="157">
        <x:v>11</x:v>
      </x:c>
      <x:c r="F410" s="20" t="s">
        <x:v>196</x:v>
      </x:c>
      <x:c r="G410" s="20" t="s">
        <x:v>617</x:v>
      </x:c>
      <x:c r="H410" s="141">
        <x:v>46631</x:v>
      </x:c>
      <x:c r="I410" s="123">
        <x:v>30.07</x:v>
      </x:c>
      <x:c r="J410" s="127"/>
      <x:c r="K410" s="22" t="s">
        <x:v>1064</x:v>
      </x:c>
      <x:c r="L410" s="127"/>
      <x:c r="M410" s="127"/>
    </x:row>
    <x:row r="411" spans="1:13" ht="22.050000000000001">
      <x:c r="A411" s="25" t="s">
        <x:v>663</x:v>
      </x:c>
      <x:c r="B411" s="25" t="s">
        <x:v>573</x:v>
      </x:c>
      <x:c r="C411" s="125" t="s">
        <x:v>616</x:v>
      </x:c>
      <x:c r="D411" s="125" t="s">
        <x:v>685</x:v>
      </x:c>
      <x:c r="E411" s="159">
        <x:v>101</x:v>
      </x:c>
      <x:c r="F411" s="25" t="s">
        <x:v>266</x:v>
      </x:c>
      <x:c r="G411" s="25" t="s">
        <x:v>639</x:v>
      </x:c>
      <x:c r="H411" s="143">
        <x:v>46757</x:v>
      </x:c>
      <x:c r="I411" s="125">
        <x:v>25.649999999999999</x:v>
      </x:c>
      <x:c r="J411" s="125"/>
      <x:c r="K411" s="25"/>
      <x:c r="L411" s="127"/>
      <x:c r="M411" s="127"/>
    </x:row>
    <x:row r="412" spans="1:13" ht="22.050000000000001">
      <x:c r="A412" s="22" t="s">
        <x:v>663</x:v>
      </x:c>
      <x:c r="B412" s="22" t="s">
        <x:v>573</x:v>
      </x:c>
      <x:c r="C412" s="127" t="s">
        <x:v>616</x:v>
      </x:c>
      <x:c r="D412" s="127" t="s">
        <x:v>685</x:v>
      </x:c>
      <x:c r="E412" s="160">
        <x:v>374</x:v>
      </x:c>
      <x:c r="F412" s="22" t="s">
        <x:v>926</x:v>
      </x:c>
      <x:c r="G412" s="22" t="s">
        <x:v>639</x:v>
      </x:c>
      <x:c r="H412" s="144">
        <x:v>46759</x:v>
      </x:c>
      <x:c r="I412" s="127">
        <x:v>26.579999999999998</x:v>
      </x:c>
      <x:c r="J412" s="127"/>
      <x:c r="K412" s="22" t="s">
        <x:v>397</x:v>
      </x:c>
      <x:c r="L412" s="127"/>
      <x:c r="M412" s="127"/>
    </x:row>
    <x:row r="413" spans="1:13" ht="22.050000000000001">
      <x:c r="A413" s="23" t="s">
        <x:v>663</x:v>
      </x:c>
      <x:c r="B413" s="23" t="s">
        <x:v>573</x:v>
      </x:c>
      <x:c r="C413" s="124" t="s">
        <x:v>616</x:v>
      </x:c>
      <x:c r="D413" s="124" t="s">
        <x:v>685</x:v>
      </x:c>
      <x:c r="E413" s="158">
        <x:v>243</x:v>
      </x:c>
      <x:c r="F413" s="23" t="s">
        <x:v>925</x:v>
      </x:c>
      <x:c r="G413" s="23" t="s">
        <x:v>639</x:v>
      </x:c>
      <x:c r="H413" s="142">
        <x:v>46773</x:v>
      </x:c>
      <x:c r="I413" s="124">
        <x:v>26.949999999999999</x:v>
      </x:c>
      <x:c r="J413" s="125"/>
      <x:c r="K413" s="25"/>
      <x:c r="L413" s="127"/>
      <x:c r="M413" s="127"/>
    </x:row>
    <x:row r="414" spans="1:13" ht="22.050000000000001">
      <x:c r="A414" s="22" t="s">
        <x:v>663</x:v>
      </x:c>
      <x:c r="B414" s="22" t="s">
        <x:v>573</x:v>
      </x:c>
      <x:c r="C414" s="127" t="s">
        <x:v>616</x:v>
      </x:c>
      <x:c r="D414" s="127" t="s">
        <x:v>685</x:v>
      </x:c>
      <x:c r="E414" s="160">
        <x:v>320</x:v>
      </x:c>
      <x:c r="F414" s="22" t="s">
        <x:v>929</x:v>
      </x:c>
      <x:c r="G414" s="22" t="s">
        <x:v>639</x:v>
      </x:c>
      <x:c r="H414" s="144">
        <x:v>46780</x:v>
      </x:c>
      <x:c r="I414" s="127">
        <x:v>25.760000000000002</x:v>
      </x:c>
      <x:c r="J414" s="127"/>
      <x:c r="K414" s="22" t="s">
        <x:v>397</x:v>
      </x:c>
      <x:c r="L414" s="127"/>
      <x:c r="M414" s="127"/>
    </x:row>
    <x:row r="415" spans="1:13" ht="22.050000000000001">
      <x:c r="A415" s="25" t="s">
        <x:v>663</x:v>
      </x:c>
      <x:c r="B415" s="25" t="s">
        <x:v>573</x:v>
      </x:c>
      <x:c r="C415" s="125" t="s">
        <x:v>636</x:v>
      </x:c>
      <x:c r="D415" s="125" t="s">
        <x:v>685</x:v>
      </x:c>
      <x:c r="E415" s="159">
        <x:v>9</x:v>
      </x:c>
      <x:c r="F415" s="25" t="s">
        <x:v>926</x:v>
      </x:c>
      <x:c r="G415" s="25" t="s">
        <x:v>639</x:v>
      </x:c>
      <x:c r="H415" s="143">
        <x:v>46759</x:v>
      </x:c>
      <x:c r="I415" s="125">
        <x:v>24.879999999999999</x:v>
      </x:c>
      <x:c r="J415" s="125"/>
      <x:c r="K415" s="25" t="s">
        <x:v>397</x:v>
      </x:c>
      <x:c r="L415" s="127"/>
      <x:c r="M415" s="127"/>
    </x:row>
    <x:row r="416" spans="1:13" ht="22.050000000000001">
      <x:c r="A416" s="30" t="s">
        <x:v>398</x:v>
      </x:c>
      <x:c r="B416" s="30" t="s">
        <x:v>573</x:v>
      </x:c>
      <x:c r="C416" s="123" t="s">
        <x:v>668</x:v>
      </x:c>
      <x:c r="D416" s="123">
        <x:v>38</x:v>
      </x:c>
      <x:c r="E416" s="157">
        <x:v>149</x:v>
      </x:c>
      <x:c r="F416" s="30" t="s">
        <x:v>184</x:v>
      </x:c>
      <x:c r="G416" s="30" t="s">
        <x:v>722</x:v>
      </x:c>
      <x:c r="H416" s="141">
        <x:v>46716</x:v>
      </x:c>
      <x:c r="I416" s="123">
        <x:v>31.91</x:v>
      </x:c>
      <x:c r="J416" s="127"/>
      <x:c r="K416" s="22"/>
      <x:c r="L416" s="127"/>
      <x:c r="M416" s="127"/>
    </x:row>
    <x:row r="417" spans="1:13" ht="22.050000000000001">
      <x:c r="A417" s="25" t="s">
        <x:v>575</x:v>
      </x:c>
      <x:c r="B417" s="25" t="s">
        <x:v>374</x:v>
      </x:c>
      <x:c r="C417" s="125" t="s">
        <x:v>676</x:v>
      </x:c>
      <x:c r="D417" s="125" t="s">
        <x:v>606</x:v>
      </x:c>
      <x:c r="E417" s="159">
        <x:v>25</x:v>
      </x:c>
      <x:c r="F417" s="25" t="s">
        <x:v>956</x:v>
      </x:c>
      <x:c r="G417" s="25" t="s">
        <x:v>617</x:v>
      </x:c>
      <x:c r="H417" s="143">
        <x:v>46568</x:v>
      </x:c>
      <x:c r="I417" s="125">
        <x:v>16.5</x:v>
      </x:c>
      <x:c r="J417" s="125"/>
      <x:c r="K417" s="25" t="s">
        <x:v>408</x:v>
      </x:c>
      <x:c r="L417" s="127"/>
      <x:c r="M417" s="127"/>
    </x:row>
    <x:row r="418" spans="1:13" ht="22.050000000000001">
      <x:c r="A418" s="22" t="s">
        <x:v>575</x:v>
      </x:c>
      <x:c r="B418" s="22" t="s">
        <x:v>374</x:v>
      </x:c>
      <x:c r="C418" s="127" t="s">
        <x:v>676</x:v>
      </x:c>
      <x:c r="D418" s="127" t="s">
        <x:v>606</x:v>
      </x:c>
      <x:c r="E418" s="160">
        <x:v>0</x:v>
      </x:c>
      <x:c r="F418" s="22" t="s">
        <x:v>950</x:v>
      </x:c>
      <x:c r="G418" s="22" t="s">
        <x:v>617</x:v>
      </x:c>
      <x:c r="H418" s="144">
        <x:v>46668</x:v>
      </x:c>
      <x:c r="I418" s="127">
        <x:v>15.31</x:v>
      </x:c>
      <x:c r="J418" s="127"/>
      <x:c r="K418" s="22" t="s">
        <x:v>408</x:v>
      </x:c>
      <x:c r="L418" s="127"/>
      <x:c r="M418" s="127"/>
    </x:row>
    <x:row r="419" spans="1:13" ht="22.050000000000001">
      <x:c r="A419" s="23" t="s">
        <x:v>575</x:v>
      </x:c>
      <x:c r="B419" s="23" t="s">
        <x:v>374</x:v>
      </x:c>
      <x:c r="C419" s="124" t="s">
        <x:v>676</x:v>
      </x:c>
      <x:c r="D419" s="124" t="s">
        <x:v>606</x:v>
      </x:c>
      <x:c r="E419" s="158">
        <x:v>100</x:v>
      </x:c>
      <x:c r="F419" s="23" t="s">
        <x:v>918</x:v>
      </x:c>
      <x:c r="G419" s="31" t="s">
        <x:v>628</x:v>
      </x:c>
      <x:c r="H419" s="142">
        <x:v>46668</x:v>
      </x:c>
      <x:c r="I419" s="124">
        <x:v>15.31</x:v>
      </x:c>
      <x:c r="J419" s="125"/>
      <x:c r="K419" s="25"/>
      <x:c r="L419" s="127"/>
      <x:c r="M419" s="127"/>
    </x:row>
    <x:row r="420" spans="1:13" ht="22.050000000000001">
      <x:c r="A420" s="20" t="s">
        <x:v>575</x:v>
      </x:c>
      <x:c r="B420" s="20" t="s">
        <x:v>374</x:v>
      </x:c>
      <x:c r="C420" s="123" t="s">
        <x:v>676</x:v>
      </x:c>
      <x:c r="D420" s="123" t="s">
        <x:v>606</x:v>
      </x:c>
      <x:c r="E420" s="157">
        <x:v>93</x:v>
      </x:c>
      <x:c r="F420" s="20" t="s">
        <x:v>918</x:v>
      </x:c>
      <x:c r="G420" s="20" t="s">
        <x:v>628</x:v>
      </x:c>
      <x:c r="H420" s="141">
        <x:v>46679</x:v>
      </x:c>
      <x:c r="I420" s="123">
        <x:v>15.59</x:v>
      </x:c>
      <x:c r="J420" s="127"/>
      <x:c r="K420" s="22"/>
      <x:c r="L420" s="127"/>
      <x:c r="M420" s="127"/>
    </x:row>
    <x:row r="421" spans="1:13" ht="22.050000000000001">
      <x:c r="A421" s="23" t="s">
        <x:v>575</x:v>
      </x:c>
      <x:c r="B421" s="23" t="s">
        <x:v>374</x:v>
      </x:c>
      <x:c r="C421" s="124" t="s">
        <x:v>676</x:v>
      </x:c>
      <x:c r="D421" s="124" t="s">
        <x:v>606</x:v>
      </x:c>
      <x:c r="E421" s="158">
        <x:v>265</x:v>
      </x:c>
      <x:c r="F421" s="23" t="s">
        <x:v>918</x:v>
      </x:c>
      <x:c r="G421" s="23" t="s">
        <x:v>628</x:v>
      </x:c>
      <x:c r="H421" s="142">
        <x:v>46679</x:v>
      </x:c>
      <x:c r="I421" s="124">
        <x:v>15.539999999999999</x:v>
      </x:c>
      <x:c r="J421" s="125"/>
      <x:c r="K421" s="25"/>
      <x:c r="L421" s="127"/>
      <x:c r="M421" s="127"/>
    </x:row>
    <x:row r="422" spans="1:13" ht="22.050000000000001">
      <x:c r="A422" s="20" t="s">
        <x:v>575</x:v>
      </x:c>
      <x:c r="B422" s="20" t="s">
        <x:v>374</x:v>
      </x:c>
      <x:c r="C422" s="123" t="s">
        <x:v>676</x:v>
      </x:c>
      <x:c r="D422" s="123" t="s">
        <x:v>606</x:v>
      </x:c>
      <x:c r="E422" s="157">
        <x:v>121</x:v>
      </x:c>
      <x:c r="F422" s="20" t="s">
        <x:v>970</x:v>
      </x:c>
      <x:c r="G422" s="20" t="s">
        <x:v>706</x:v>
      </x:c>
      <x:c r="H422" s="141">
        <x:v>46681</x:v>
      </x:c>
      <x:c r="I422" s="123">
        <x:v>15.43</x:v>
      </x:c>
      <x:c r="J422" s="127"/>
      <x:c r="K422" s="22"/>
      <x:c r="L422" s="127"/>
      <x:c r="M422" s="127"/>
    </x:row>
    <x:row r="423" spans="1:13" ht="22.050000000000001">
      <x:c r="A423" s="23" t="s">
        <x:v>575</x:v>
      </x:c>
      <x:c r="B423" s="23" t="s">
        <x:v>374</x:v>
      </x:c>
      <x:c r="C423" s="124" t="s">
        <x:v>676</x:v>
      </x:c>
      <x:c r="D423" s="124" t="s">
        <x:v>606</x:v>
      </x:c>
      <x:c r="E423" s="158">
        <x:v>207</x:v>
      </x:c>
      <x:c r="F423" s="23" t="s">
        <x:v>973</x:v>
      </x:c>
      <x:c r="G423" s="23" t="s">
        <x:v>628</x:v>
      </x:c>
      <x:c r="H423" s="142">
        <x:v>46689</x:v>
      </x:c>
      <x:c r="I423" s="124">
        <x:v>16.27</x:v>
      </x:c>
      <x:c r="J423" s="125"/>
      <x:c r="K423" s="25"/>
      <x:c r="L423" s="127"/>
      <x:c r="M423" s="127"/>
    </x:row>
    <x:row r="424" spans="1:13" ht="22.050000000000001">
      <x:c r="A424" s="20" t="s">
        <x:v>575</x:v>
      </x:c>
      <x:c r="B424" s="20" t="s">
        <x:v>374</x:v>
      </x:c>
      <x:c r="C424" s="123" t="s">
        <x:v>676</x:v>
      </x:c>
      <x:c r="D424" s="123" t="s">
        <x:v>606</x:v>
      </x:c>
      <x:c r="E424" s="157">
        <x:v>301</x:v>
      </x:c>
      <x:c r="F424" s="20" t="s">
        <x:v>973</x:v>
      </x:c>
      <x:c r="G424" s="20" t="s">
        <x:v>706</x:v>
      </x:c>
      <x:c r="H424" s="141">
        <x:v>46689</x:v>
      </x:c>
      <x:c r="I424" s="123">
        <x:v>16.050000000000001</x:v>
      </x:c>
      <x:c r="J424" s="127"/>
      <x:c r="K424" s="22"/>
      <x:c r="L424" s="127"/>
      <x:c r="M424" s="127"/>
    </x:row>
    <x:row r="425" spans="1:13" ht="22.050000000000001">
      <x:c r="A425" s="23" t="s">
        <x:v>580</x:v>
      </x:c>
      <x:c r="B425" s="23" t="s">
        <x:v>533</x:v>
      </x:c>
      <x:c r="C425" s="124" t="s">
        <x:v>627</x:v>
      </x:c>
      <x:c r="D425" s="124" t="s">
        <x:v>670</x:v>
      </x:c>
      <x:c r="E425" s="158">
        <x:v>13</x:v>
      </x:c>
      <x:c r="F425" s="23" t="s">
        <x:v>91</x:v>
      </x:c>
      <x:c r="G425" s="23" t="s">
        <x:v>639</x:v>
      </x:c>
      <x:c r="H425" s="142">
        <x:v>46527</x:v>
      </x:c>
      <x:c r="I425" s="124">
        <x:v>19.699999999999999</x:v>
      </x:c>
      <x:c r="J425" s="125"/>
      <x:c r="K425" s="25"/>
      <x:c r="L425" s="127"/>
      <x:c r="M425" s="127"/>
    </x:row>
    <x:row r="426" spans="1:13" ht="22.050000000000001">
      <x:c r="A426" s="22" t="s">
        <x:v>580</x:v>
      </x:c>
      <x:c r="B426" s="22" t="s">
        <x:v>533</x:v>
      </x:c>
      <x:c r="C426" s="127" t="s">
        <x:v>627</x:v>
      </x:c>
      <x:c r="D426" s="127" t="s">
        <x:v>670</x:v>
      </x:c>
      <x:c r="E426" s="160">
        <x:v>1</x:v>
      </x:c>
      <x:c r="F426" s="22" t="s">
        <x:v>91</x:v>
      </x:c>
      <x:c r="G426" s="22" t="s">
        <x:v>639</x:v>
      </x:c>
      <x:c r="H426" s="144">
        <x:v>46527</x:v>
      </x:c>
      <x:c r="I426" s="127">
        <x:v>19.699999999999999</x:v>
      </x:c>
      <x:c r="J426" s="127">
        <x:v>46136</x:v>
      </x:c>
      <x:c r="K426" s="22" t="s">
        <x:v>380</x:v>
      </x:c>
      <x:c r="L426" s="125"/>
      <x:c r="M426" s="125"/>
    </x:row>
    <x:row r="427" spans="1:13" ht="22.050000000000001">
      <x:c r="A427" s="23" t="s">
        <x:v>580</x:v>
      </x:c>
      <x:c r="B427" s="23" t="s">
        <x:v>533</x:v>
      </x:c>
      <x:c r="C427" s="124" t="s">
        <x:v>636</x:v>
      </x:c>
      <x:c r="D427" s="124" t="s">
        <x:v>618</x:v>
      </x:c>
      <x:c r="E427" s="158">
        <x:v>35</x:v>
      </x:c>
      <x:c r="F427" s="23" t="s">
        <x:v>959</x:v>
      </x:c>
      <x:c r="G427" s="23" t="s">
        <x:v>674</x:v>
      </x:c>
      <x:c r="H427" s="142">
        <x:v>46688</x:v>
      </x:c>
      <x:c r="I427" s="124">
        <x:v>22.48</x:v>
      </x:c>
      <x:c r="J427" s="125"/>
      <x:c r="K427" s="25"/>
      <x:c r="L427" s="125"/>
      <x:c r="M427" s="125"/>
    </x:row>
    <x:row r="428" spans="1:13" ht="22.050000000000001">
      <x:c r="A428" s="22" t="s">
        <x:v>580</x:v>
      </x:c>
      <x:c r="B428" s="22" t="s">
        <x:v>533</x:v>
      </x:c>
      <x:c r="C428" s="127" t="s">
        <x:v>636</x:v>
      </x:c>
      <x:c r="D428" s="127" t="s">
        <x:v>618</x:v>
      </x:c>
      <x:c r="E428" s="160">
        <x:v>15</x:v>
      </x:c>
      <x:c r="F428" s="22" t="s">
        <x:v>959</x:v>
      </x:c>
      <x:c r="G428" s="22" t="s">
        <x:v>674</x:v>
      </x:c>
      <x:c r="H428" s="144">
        <x:v>46688</x:v>
      </x:c>
      <x:c r="I428" s="127">
        <x:v>22.48</x:v>
      </x:c>
      <x:c r="J428" s="127">
        <x:v>46136</x:v>
      </x:c>
      <x:c r="K428" s="22" t="s">
        <x:v>373</x:v>
      </x:c>
      <x:c r="L428" s="125"/>
      <x:c r="M428" s="125"/>
    </x:row>
    <x:row r="429" spans="1:13" ht="22.050000000000001">
      <x:c r="A429" s="23" t="s">
        <x:v>580</x:v>
      </x:c>
      <x:c r="B429" s="23" t="s">
        <x:v>533</x:v>
      </x:c>
      <x:c r="C429" s="124" t="s">
        <x:v>636</x:v>
      </x:c>
      <x:c r="D429" s="124" t="s">
        <x:v>618</x:v>
      </x:c>
      <x:c r="E429" s="158">
        <x:v>45</x:v>
      </x:c>
      <x:c r="F429" s="23" t="s">
        <x:v>959</x:v>
      </x:c>
      <x:c r="G429" s="23" t="s">
        <x:v>617</x:v>
      </x:c>
      <x:c r="H429" s="142">
        <x:v>46688</x:v>
      </x:c>
      <x:c r="I429" s="124">
        <x:v>22.48</x:v>
      </x:c>
      <x:c r="J429" s="125"/>
      <x:c r="K429" s="25"/>
      <x:c r="L429" s="125"/>
      <x:c r="M429" s="125"/>
    </x:row>
    <x:row r="430" spans="1:13" ht="22.050000000000001">
      <x:c r="A430" s="20" t="s">
        <x:v>580</x:v>
      </x:c>
      <x:c r="B430" s="20" t="s">
        <x:v>762</x:v>
      </x:c>
      <x:c r="C430" s="123" t="s">
        <x:v>627</x:v>
      </x:c>
      <x:c r="D430" s="123">
        <x:v>337</x:v>
      </x:c>
      <x:c r="E430" s="157">
        <x:v>12</x:v>
      </x:c>
      <x:c r="F430" s="20" t="s">
        <x:v>202</x:v>
      </x:c>
      <x:c r="G430" s="20" t="s">
        <x:v>617</x:v>
      </x:c>
      <x:c r="H430" s="141">
        <x:v>46641</x:v>
      </x:c>
      <x:c r="I430" s="123">
        <x:v>14.539999999999999</x:v>
      </x:c>
      <x:c r="J430" s="127"/>
      <x:c r="K430" s="22"/>
      <x:c r="L430" s="127"/>
      <x:c r="M430" s="127"/>
    </x:row>
    <x:row r="431" spans="1:13" ht="22.050000000000001">
      <x:c r="A431" s="23" t="s">
        <x:v>745</x:v>
      </x:c>
      <x:c r="B431" s="23" t="s">
        <x:v>357</x:v>
      </x:c>
      <x:c r="C431" s="124"/>
      <x:c r="D431" s="124">
        <x:v>239</x:v>
      </x:c>
      <x:c r="E431" s="158">
        <x:v>50</x:v>
      </x:c>
      <x:c r="F431" s="23" t="s">
        <x:v>1074</x:v>
      </x:c>
      <x:c r="G431" s="23" t="s">
        <x:v>617</x:v>
      </x:c>
      <x:c r="H431" s="142">
        <x:v>46645</x:v>
      </x:c>
      <x:c r="I431" s="124">
        <x:v>13.6</x:v>
      </x:c>
      <x:c r="J431" s="124"/>
      <x:c r="K431" s="25" t="s">
        <x:v>415</x:v>
      </x:c>
      <x:c r="L431" s="124"/>
      <x:c r="M431" s="124"/>
    </x:row>
    <x:row r="432" spans="1:13" ht="22.050000000000001">
      <x:c r="A432" s="22" t="s">
        <x:v>745</x:v>
      </x:c>
      <x:c r="B432" s="22" t="s">
        <x:v>1076</x:v>
      </x:c>
      <x:c r="C432" s="123"/>
      <x:c r="D432" s="127" t="s">
        <x:v>368</x:v>
      </x:c>
      <x:c r="E432" s="160">
        <x:v>66</x:v>
      </x:c>
      <x:c r="F432" s="22" t="s">
        <x:v>981</x:v>
      </x:c>
      <x:c r="G432" s="22" t="s">
        <x:v>621</x:v>
      </x:c>
      <x:c r="H432" s="144">
        <x:v>46767</x:v>
      </x:c>
      <x:c r="I432" s="127">
        <x:v>15</x:v>
      </x:c>
      <x:c r="J432" s="127"/>
      <x:c r="K432" s="22" t="s">
        <x:v>415</x:v>
      </x:c>
      <x:c r="L432" s="127"/>
      <x:c r="M432" s="127"/>
    </x:row>
    <x:row r="433" spans="1:13" ht="22.050000000000001">
      <x:c r="A433" s="25" t="s">
        <x:v>745</x:v>
      </x:c>
      <x:c r="B433" s="25" t="s">
        <x:v>369</x:v>
      </x:c>
      <x:c r="C433" s="124"/>
      <x:c r="D433" s="125">
        <x:v>154</x:v>
      </x:c>
      <x:c r="E433" s="159">
        <x:v>48</x:v>
      </x:c>
      <x:c r="F433" s="25" t="s">
        <x:v>960</x:v>
      </x:c>
      <x:c r="G433" s="25" t="s">
        <x:v>617</x:v>
      </x:c>
      <x:c r="H433" s="143">
        <x:v>46696</x:v>
      </x:c>
      <x:c r="I433" s="125">
        <x:v>15</x:v>
      </x:c>
      <x:c r="J433" s="125"/>
      <x:c r="K433" s="25" t="s">
        <x:v>354</x:v>
      </x:c>
      <x:c r="L433" s="127"/>
      <x:c r="M433" s="127"/>
    </x:row>
    <x:row r="434" spans="1:13" ht="22.050000000000001">
      <x:c r="A434" s="22" t="s">
        <x:v>745</x:v>
      </x:c>
      <x:c r="B434" s="22" t="s">
        <x:v>369</x:v>
      </x:c>
      <x:c r="C434" s="127"/>
      <x:c r="D434" s="127">
        <x:v>154</x:v>
      </x:c>
      <x:c r="E434" s="160">
        <x:v>86</x:v>
      </x:c>
      <x:c r="F434" s="22" t="s">
        <x:v>960</x:v>
      </x:c>
      <x:c r="G434" s="22" t="s">
        <x:v>664</x:v>
      </x:c>
      <x:c r="H434" s="144">
        <x:v>46696</x:v>
      </x:c>
      <x:c r="I434" s="127">
        <x:v>15</x:v>
      </x:c>
      <x:c r="J434" s="127"/>
      <x:c r="K434" s="22" t="s">
        <x:v>354</x:v>
      </x:c>
      <x:c r="L434" s="127"/>
      <x:c r="M434" s="127"/>
    </x:row>
    <x:row r="435" spans="1:13" ht="22.050000000000001">
      <x:c r="A435" s="25" t="s">
        <x:v>745</x:v>
      </x:c>
      <x:c r="B435" s="25" t="s">
        <x:v>369</x:v>
      </x:c>
      <x:c r="C435" s="125"/>
      <x:c r="D435" s="125">
        <x:v>154</x:v>
      </x:c>
      <x:c r="E435" s="159">
        <x:v>2</x:v>
      </x:c>
      <x:c r="F435" s="25" t="s">
        <x:v>960</x:v>
      </x:c>
      <x:c r="G435" s="25" t="s">
        <x:v>664</x:v>
      </x:c>
      <x:c r="H435" s="143">
        <x:v>46696</x:v>
      </x:c>
      <x:c r="I435" s="125">
        <x:v>15</x:v>
      </x:c>
      <x:c r="J435" s="125"/>
      <x:c r="K435" s="25" t="s">
        <x:v>354</x:v>
      </x:c>
      <x:c r="L435" s="127"/>
      <x:c r="M435" s="127"/>
    </x:row>
    <x:row r="436" spans="1:13" ht="22.050000000000001">
      <x:c r="A436" s="22" t="s">
        <x:v>650</x:v>
      </x:c>
      <x:c r="B436" s="22" t="s">
        <x:v>693</x:v>
      </x:c>
      <x:c r="C436" s="127" t="s">
        <x:v>692</x:v>
      </x:c>
      <x:c r="D436" s="127">
        <x:v>235</x:v>
      </x:c>
      <x:c r="E436" s="160">
        <x:v>42</x:v>
      </x:c>
      <x:c r="F436" s="22" t="s">
        <x:v>1035</x:v>
      </x:c>
      <x:c r="G436" s="22" t="s">
        <x:v>694</x:v>
      </x:c>
      <x:c r="H436" s="144">
        <x:v>46679</x:v>
      </x:c>
      <x:c r="I436" s="127">
        <x:v>21.050000000000001</x:v>
      </x:c>
      <x:c r="J436" s="127"/>
      <x:c r="K436" s="22" t="s">
        <x:v>375</x:v>
      </x:c>
      <x:c r="L436" s="127"/>
      <x:c r="M436" s="127"/>
    </x:row>
    <x:row r="437" spans="1:13" ht="22.050000000000001">
      <x:c r="A437" s="23" t="s">
        <x:v>650</x:v>
      </x:c>
      <x:c r="B437" s="23" t="s">
        <x:v>533</x:v>
      </x:c>
      <x:c r="C437" s="124" t="s">
        <x:v>627</x:v>
      </x:c>
      <x:c r="D437" s="124" t="s">
        <x:v>625</x:v>
      </x:c>
      <x:c r="E437" s="158">
        <x:v>30</x:v>
      </x:c>
      <x:c r="F437" s="23" t="s">
        <x:v>194</x:v>
      </x:c>
      <x:c r="G437" s="23" t="s">
        <x:v>617</x:v>
      </x:c>
      <x:c r="H437" s="142">
        <x:v>46753</x:v>
      </x:c>
      <x:c r="I437" s="124">
        <x:v>25.329999999999998</x:v>
      </x:c>
      <x:c r="J437" s="125"/>
      <x:c r="K437" s="25"/>
      <x:c r="L437" s="127"/>
      <x:c r="M437" s="127"/>
    </x:row>
    <x:row r="438" spans="1:13" ht="22.050000000000001">
      <x:c r="A438" s="20" t="s">
        <x:v>650</x:v>
      </x:c>
      <x:c r="B438" s="30" t="s">
        <x:v>533</x:v>
      </x:c>
      <x:c r="C438" s="123" t="s">
        <x:v>627</x:v>
      </x:c>
      <x:c r="D438" s="123" t="s">
        <x:v>670</x:v>
      </x:c>
      <x:c r="E438" s="157">
        <x:v>30</x:v>
      </x:c>
      <x:c r="F438" s="20" t="s">
        <x:v>249</x:v>
      </x:c>
      <x:c r="G438" s="20" t="s">
        <x:v>617</x:v>
      </x:c>
      <x:c r="H438" s="141">
        <x:v>46785</x:v>
      </x:c>
      <x:c r="I438" s="123">
        <x:v>26.079999999999998</x:v>
      </x:c>
      <x:c r="J438" s="127"/>
      <x:c r="K438" s="22"/>
      <x:c r="L438" s="127"/>
      <x:c r="M438" s="127"/>
    </x:row>
    <x:row r="439" spans="1:13" ht="22.050000000000001">
      <x:c r="A439" s="23" t="s">
        <x:v>650</x:v>
      </x:c>
      <x:c r="B439" s="23" t="s">
        <x:v>362</x:v>
      </x:c>
      <x:c r="C439" s="124" t="s">
        <x:v>667</x:v>
      </x:c>
      <x:c r="D439" s="124">
        <x:v>640</x:v>
      </x:c>
      <x:c r="E439" s="158">
        <x:v>35</x:v>
      </x:c>
      <x:c r="F439" s="23" t="s">
        <x:v>181</x:v>
      </x:c>
      <x:c r="G439" s="23" t="s">
        <x:v>747</x:v>
      </x:c>
      <x:c r="H439" s="142">
        <x:v>46728</x:v>
      </x:c>
      <x:c r="I439" s="124">
        <x:v>20.82</x:v>
      </x:c>
      <x:c r="J439" s="125"/>
      <x:c r="K439" s="25"/>
      <x:c r="L439" s="127"/>
      <x:c r="M439" s="127"/>
    </x:row>
    <x:row r="440" spans="1:13" ht="22.050000000000001">
      <x:c r="A440" s="20" t="s">
        <x:v>650</x:v>
      </x:c>
      <x:c r="B440" s="30" t="s">
        <x:v>362</x:v>
      </x:c>
      <x:c r="C440" s="123" t="s">
        <x:v>667</x:v>
      </x:c>
      <x:c r="D440" s="123">
        <x:v>640</x:v>
      </x:c>
      <x:c r="E440" s="157">
        <x:v>0</x:v>
      </x:c>
      <x:c r="F440" s="20" t="s">
        <x:v>965</x:v>
      </x:c>
      <x:c r="G440" s="20" t="s">
        <x:v>617</x:v>
      </x:c>
      <x:c r="H440" s="141">
        <x:v>46743</x:v>
      </x:c>
      <x:c r="I440" s="123">
        <x:v>19.309999999999999</x:v>
      </x:c>
      <x:c r="J440" s="127"/>
      <x:c r="K440" s="22"/>
      <x:c r="L440" s="127"/>
      <x:c r="M440" s="127"/>
    </x:row>
    <x:row r="441" spans="1:13" ht="22.050000000000001">
      <x:c r="A441" s="23" t="s">
        <x:v>650</x:v>
      </x:c>
      <x:c r="B441" s="31" t="s">
        <x:v>362</x:v>
      </x:c>
      <x:c r="C441" s="124" t="s">
        <x:v>667</x:v>
      </x:c>
      <x:c r="D441" s="124">
        <x:v>640</x:v>
      </x:c>
      <x:c r="E441" s="158">
        <x:v>109</x:v>
      </x:c>
      <x:c r="F441" s="23" t="s">
        <x:v>987</x:v>
      </x:c>
      <x:c r="G441" s="23" t="s">
        <x:v>617</x:v>
      </x:c>
      <x:c r="H441" s="142">
        <x:v>46756</x:v>
      </x:c>
      <x:c r="I441" s="124">
        <x:v>18.73</x:v>
      </x:c>
      <x:c r="J441" s="125"/>
      <x:c r="K441" s="25"/>
      <x:c r="L441" s="127"/>
      <x:c r="M441" s="127"/>
    </x:row>
    <x:row r="442" spans="1:13" ht="22.050000000000001">
      <x:c r="A442" s="20" t="s">
        <x:v>650</x:v>
      </x:c>
      <x:c r="B442" s="20" t="s">
        <x:v>362</x:v>
      </x:c>
      <x:c r="C442" s="123" t="s">
        <x:v>667</x:v>
      </x:c>
      <x:c r="D442" s="123">
        <x:v>640</x:v>
      </x:c>
      <x:c r="E442" s="157">
        <x:v>84</x:v>
      </x:c>
      <x:c r="F442" s="20" t="s">
        <x:v>976</x:v>
      </x:c>
      <x:c r="G442" s="20" t="s">
        <x:v>290</x:v>
      </x:c>
      <x:c r="H442" s="141">
        <x:v>46758</x:v>
      </x:c>
      <x:c r="I442" s="123">
        <x:v>18.550000000000001</x:v>
      </x:c>
      <x:c r="J442" s="127"/>
      <x:c r="K442" s="22"/>
      <x:c r="L442" s="127"/>
      <x:c r="M442" s="127"/>
    </x:row>
    <x:row r="443" spans="1:13" ht="22.050000000000001">
      <x:c r="A443" s="23" t="s">
        <x:v>650</x:v>
      </x:c>
      <x:c r="B443" s="31" t="s">
        <x:v>362</x:v>
      </x:c>
      <x:c r="C443" s="124" t="s">
        <x:v>667</x:v>
      </x:c>
      <x:c r="D443" s="124">
        <x:v>640</x:v>
      </x:c>
      <x:c r="E443" s="158">
        <x:v>217</x:v>
      </x:c>
      <x:c r="F443" s="23" t="s">
        <x:v>974</x:v>
      </x:c>
      <x:c r="G443" s="23" t="s">
        <x:v>290</x:v>
      </x:c>
      <x:c r="H443" s="142">
        <x:v>46790</x:v>
      </x:c>
      <x:c r="I443" s="124">
        <x:v>19.030000000000001</x:v>
      </x:c>
      <x:c r="J443" s="125"/>
      <x:c r="K443" s="25"/>
      <x:c r="L443" s="127"/>
      <x:c r="M443" s="127"/>
    </x:row>
    <x:row r="444" spans="1:13" ht="22.050000000000001">
      <x:c r="A444" s="20" t="s">
        <x:v>376</x:v>
      </x:c>
      <x:c r="B444" s="30" t="s">
        <x:v>1014</x:v>
      </x:c>
      <x:c r="C444" s="123" t="s">
        <x:v>627</x:v>
      </x:c>
      <x:c r="D444" s="123">
        <x:v>267</x:v>
      </x:c>
      <x:c r="E444" s="157">
        <x:v>0</x:v>
      </x:c>
      <x:c r="F444" s="20" t="s">
        <x:v>62</x:v>
      </x:c>
      <x:c r="G444" s="20" t="s">
        <x:v>617</x:v>
      </x:c>
      <x:c r="H444" s="141">
        <x:v>46711</x:v>
      </x:c>
      <x:c r="I444" s="123">
        <x:v>17.399999999999999</x:v>
      </x:c>
      <x:c r="J444" s="127"/>
      <x:c r="K444" s="22"/>
      <x:c r="L444" s="127"/>
      <x:c r="M444" s="127"/>
    </x:row>
    <x:row r="445" spans="1:13" ht="22.050000000000001">
      <x:c r="A445" s="23" t="s">
        <x:v>763</x:v>
      </x:c>
      <x:c r="B445" s="23" t="s">
        <x:v>533</x:v>
      </x:c>
      <x:c r="C445" s="124" t="s">
        <x:v>627</x:v>
      </x:c>
      <x:c r="D445" s="124" t="s">
        <x:v>635</x:v>
      </x:c>
      <x:c r="E445" s="158">
        <x:v>17</x:v>
      </x:c>
      <x:c r="F445" s="23" t="s">
        <x:v>991</x:v>
      </x:c>
      <x:c r="G445" s="23" t="s">
        <x:v>617</x:v>
      </x:c>
      <x:c r="H445" s="142">
        <x:v>46711</x:v>
      </x:c>
      <x:c r="I445" s="124">
        <x:v>29.879999999999999</x:v>
      </x:c>
      <x:c r="J445" s="125"/>
      <x:c r="K445" s="25"/>
      <x:c r="L445" s="127"/>
      <x:c r="M445" s="127"/>
    </x:row>
    <x:row r="446" spans="1:13" ht="22.050000000000001">
      <x:c r="A446" s="20" t="s">
        <x:v>763</x:v>
      </x:c>
      <x:c r="B446" s="20" t="s">
        <x:v>533</x:v>
      </x:c>
      <x:c r="C446" s="123" t="s">
        <x:v>627</x:v>
      </x:c>
      <x:c r="D446" s="123" t="s">
        <x:v>670</x:v>
      </x:c>
      <x:c r="E446" s="157">
        <x:v>131</x:v>
      </x:c>
      <x:c r="F446" s="20" t="s">
        <x:v>57</x:v>
      </x:c>
      <x:c r="G446" s="20" t="s">
        <x:v>617</x:v>
      </x:c>
      <x:c r="H446" s="141">
        <x:v>46721</x:v>
      </x:c>
      <x:c r="I446" s="123">
        <x:v>29.289999999999999</x:v>
      </x:c>
      <x:c r="J446" s="127"/>
      <x:c r="K446" s="22"/>
      <x:c r="L446" s="127"/>
      <x:c r="M446" s="127"/>
    </x:row>
    <x:row r="447" spans="1:13" ht="22.050000000000001">
      <x:c r="A447" s="25" t="s">
        <x:v>763</x:v>
      </x:c>
      <x:c r="B447" s="25" t="s">
        <x:v>533</x:v>
      </x:c>
      <x:c r="C447" s="125" t="s">
        <x:v>627</x:v>
      </x:c>
      <x:c r="D447" s="125" t="s">
        <x:v>670</x:v>
      </x:c>
      <x:c r="E447" s="159">
        <x:v>20</x:v>
      </x:c>
      <x:c r="F447" s="25" t="s">
        <x:v>57</x:v>
      </x:c>
      <x:c r="G447" s="25" t="s">
        <x:v>617</x:v>
      </x:c>
      <x:c r="H447" s="143">
        <x:v>46721</x:v>
      </x:c>
      <x:c r="I447" s="125">
        <x:v>29.289999999999999</x:v>
      </x:c>
      <x:c r="J447" s="125">
        <x:v>46136</x:v>
      </x:c>
      <x:c r="K447" s="25" t="s">
        <x:v>386</x:v>
      </x:c>
      <x:c r="L447" s="125"/>
      <x:c r="M447" s="125"/>
    </x:row>
    <x:row r="448" spans="1:13" ht="22.050000000000001">
      <x:c r="A448" s="20" t="s">
        <x:v>763</x:v>
      </x:c>
      <x:c r="B448" s="20" t="s">
        <x:v>573</x:v>
      </x:c>
      <x:c r="C448" s="123" t="s">
        <x:v>627</x:v>
      </x:c>
      <x:c r="D448" s="123">
        <x:v>969</x:v>
      </x:c>
      <x:c r="E448" s="157">
        <x:v>11</x:v>
      </x:c>
      <x:c r="F448" s="20" t="s">
        <x:v>172</x:v>
      </x:c>
      <x:c r="G448" s="20" t="s">
        <x:v>722</x:v>
      </x:c>
      <x:c r="H448" s="141">
        <x:v>46701</x:v>
      </x:c>
      <x:c r="I448" s="123">
        <x:v>20.309999999999999</x:v>
      </x:c>
      <x:c r="J448" s="127"/>
      <x:c r="K448" s="22"/>
      <x:c r="L448" s="127"/>
      <x:c r="M448" s="127"/>
    </x:row>
    <x:row r="449" spans="1:13" ht="22.050000000000001">
      <x:c r="A449" s="23" t="s">
        <x:v>763</x:v>
      </x:c>
      <x:c r="B449" s="23" t="s">
        <x:v>573</x:v>
      </x:c>
      <x:c r="C449" s="124" t="s">
        <x:v>627</x:v>
      </x:c>
      <x:c r="D449" s="124">
        <x:v>969</x:v>
      </x:c>
      <x:c r="E449" s="158">
        <x:v>0</x:v>
      </x:c>
      <x:c r="F449" s="23" t="s">
        <x:v>90</x:v>
      </x:c>
      <x:c r="G449" s="23" t="s">
        <x:v>617</x:v>
      </x:c>
      <x:c r="H449" s="142">
        <x:v>46702</x:v>
      </x:c>
      <x:c r="I449" s="124">
        <x:v>18.399999999999999</x:v>
      </x:c>
      <x:c r="J449" s="125"/>
      <x:c r="K449" s="25"/>
      <x:c r="L449" s="127"/>
      <x:c r="M449" s="127"/>
    </x:row>
    <x:row r="450" spans="1:13" ht="22.050000000000001">
      <x:c r="A450" s="20" t="s">
        <x:v>763</x:v>
      </x:c>
      <x:c r="B450" s="20" t="s">
        <x:v>573</x:v>
      </x:c>
      <x:c r="C450" s="123" t="s">
        <x:v>627</x:v>
      </x:c>
      <x:c r="D450" s="123">
        <x:v>969</x:v>
      </x:c>
      <x:c r="E450" s="157">
        <x:v>50</x:v>
      </x:c>
      <x:c r="F450" s="20" t="s">
        <x:v>90</x:v>
      </x:c>
      <x:c r="G450" s="20" t="s">
        <x:v>617</x:v>
      </x:c>
      <x:c r="H450" s="141">
        <x:v>46702</x:v>
      </x:c>
      <x:c r="I450" s="123">
        <x:v>18.399999999999999</x:v>
      </x:c>
      <x:c r="J450" s="127"/>
      <x:c r="K450" s="22"/>
      <x:c r="L450" s="127"/>
      <x:c r="M450" s="127"/>
    </x:row>
    <x:row r="451" spans="1:13" ht="22.050000000000001">
      <x:c r="A451" s="23" t="s">
        <x:v>697</x:v>
      </x:c>
      <x:c r="B451" s="23" t="s">
        <x:v>395</x:v>
      </x:c>
      <x:c r="C451" s="124" t="s">
        <x:v>730</x:v>
      </x:c>
      <x:c r="D451" s="124">
        <x:v>688</x:v>
      </x:c>
      <x:c r="E451" s="158">
        <x:v>29</x:v>
      </x:c>
      <x:c r="F451" s="23" t="s">
        <x:v>1084</x:v>
      </x:c>
      <x:c r="G451" s="23" t="s">
        <x:v>639</x:v>
      </x:c>
      <x:c r="H451" s="142">
        <x:v>46749</x:v>
      </x:c>
      <x:c r="I451" s="124">
        <x:v>18.989999999999998</x:v>
      </x:c>
      <x:c r="J451" s="125"/>
      <x:c r="K451" s="25"/>
      <x:c r="L451" s="127"/>
      <x:c r="M451" s="127"/>
    </x:row>
    <x:row r="452" spans="1:13" ht="22.050000000000001">
      <x:c r="A452" s="20" t="s">
        <x:v>697</x:v>
      </x:c>
      <x:c r="B452" s="20" t="s">
        <x:v>1097</x:v>
      </x:c>
      <x:c r="C452" s="123" t="s">
        <x:v>692</x:v>
      </x:c>
      <x:c r="D452" s="123">
        <x:v>234</x:v>
      </x:c>
      <x:c r="E452" s="157">
        <x:v>50</x:v>
      </x:c>
      <x:c r="F452" s="20" t="s">
        <x:v>1065</x:v>
      </x:c>
      <x:c r="G452" s="20" t="s">
        <x:v>754</x:v>
      </x:c>
      <x:c r="H452" s="141">
        <x:v>46721</x:v>
      </x:c>
      <x:c r="I452" s="123">
        <x:v>18.609999999999999</x:v>
      </x:c>
      <x:c r="J452" s="127"/>
      <x:c r="K452" s="22"/>
      <x:c r="L452" s="127"/>
      <x:c r="M452" s="127"/>
    </x:row>
    <x:row r="453" spans="1:13" ht="22.050000000000001">
      <x:c r="A453" s="25" t="s">
        <x:v>697</x:v>
      </x:c>
      <x:c r="B453" s="25" t="s">
        <x:v>572</x:v>
      </x:c>
      <x:c r="C453" s="125" t="s">
        <x:v>668</x:v>
      </x:c>
      <x:c r="D453" s="125">
        <x:v>558</x:v>
      </x:c>
      <x:c r="E453" s="159">
        <x:v>0</x:v>
      </x:c>
      <x:c r="F453" s="25" t="s">
        <x:v>1072</x:v>
      </x:c>
      <x:c r="G453" s="25" t="s">
        <x:v>639</x:v>
      </x:c>
      <x:c r="H453" s="143">
        <x:v>46616</x:v>
      </x:c>
      <x:c r="I453" s="125">
        <x:v>13.880000000000001</x:v>
      </x:c>
      <x:c r="J453" s="125">
        <x:v>46135</x:v>
      </x:c>
      <x:c r="K453" s="25" t="s">
        <x:v>404</x:v>
      </x:c>
      <x:c r="L453" s="125"/>
      <x:c r="M453" s="125"/>
    </x:row>
    <x:row r="454" spans="1:13" ht="22.050000000000001">
      <x:c r="A454" s="20" t="s">
        <x:v>697</x:v>
      </x:c>
      <x:c r="B454" s="20" t="s">
        <x:v>572</x:v>
      </x:c>
      <x:c r="C454" s="123" t="s">
        <x:v>668</x:v>
      </x:c>
      <x:c r="D454" s="123">
        <x:v>558</x:v>
      </x:c>
      <x:c r="E454" s="157">
        <x:v>191</x:v>
      </x:c>
      <x:c r="F454" s="20" t="s">
        <x:v>1072</x:v>
      </x:c>
      <x:c r="G454" s="20" t="s">
        <x:v>639</x:v>
      </x:c>
      <x:c r="H454" s="141">
        <x:v>46616</x:v>
      </x:c>
      <x:c r="I454" s="123">
        <x:v>13.880000000000001</x:v>
      </x:c>
      <x:c r="J454" s="127"/>
      <x:c r="K454" s="22"/>
      <x:c r="L454" s="127"/>
      <x:c r="M454" s="127"/>
    </x:row>
    <x:row r="455" spans="1:13" ht="22.050000000000001">
      <x:c r="A455" s="25" t="s">
        <x:v>697</x:v>
      </x:c>
      <x:c r="B455" s="25" t="s">
        <x:v>572</x:v>
      </x:c>
      <x:c r="C455" s="125" t="s">
        <x:v>668</x:v>
      </x:c>
      <x:c r="D455" s="125">
        <x:v>558</x:v>
      </x:c>
      <x:c r="E455" s="159">
        <x:v>1</x:v>
      </x:c>
      <x:c r="F455" s="25" t="s">
        <x:v>1072</x:v>
      </x:c>
      <x:c r="G455" s="25" t="s">
        <x:v>639</x:v>
      </x:c>
      <x:c r="H455" s="143">
        <x:v>46616</x:v>
      </x:c>
      <x:c r="I455" s="125">
        <x:v>13.880000000000001</x:v>
      </x:c>
      <x:c r="J455" s="125">
        <x:v>46136</x:v>
      </x:c>
      <x:c r="K455" s="25" t="s">
        <x:v>430</x:v>
      </x:c>
      <x:c r="L455" s="125"/>
      <x:c r="M455" s="125"/>
    </x:row>
    <x:row r="456" spans="1:13" ht="22.050000000000001">
      <x:c r="A456" s="20" t="s">
        <x:v>697</x:v>
      </x:c>
      <x:c r="B456" s="20" t="s">
        <x:v>573</x:v>
      </x:c>
      <x:c r="C456" s="123" t="s">
        <x:v>657</x:v>
      </x:c>
      <x:c r="D456" s="123">
        <x:v>38</x:v>
      </x:c>
      <x:c r="E456" s="157">
        <x:v>15</x:v>
      </x:c>
      <x:c r="F456" s="20" t="s">
        <x:v>69</x:v>
      </x:c>
      <x:c r="G456" s="20" t="s">
        <x:v>747</x:v>
      </x:c>
      <x:c r="H456" s="141">
        <x:v>46519</x:v>
      </x:c>
      <x:c r="I456" s="123">
        <x:v>29.350000000000001</x:v>
      </x:c>
      <x:c r="J456" s="127"/>
      <x:c r="K456" s="22"/>
      <x:c r="L456" s="127"/>
      <x:c r="M456" s="127"/>
    </x:row>
    <x:row r="457" spans="1:13" ht="22.050000000000001">
      <x:c r="A457" s="23" t="s">
        <x:v>697</x:v>
      </x:c>
      <x:c r="B457" s="23" t="s">
        <x:v>573</x:v>
      </x:c>
      <x:c r="C457" s="124" t="s">
        <x:v>657</x:v>
      </x:c>
      <x:c r="D457" s="124">
        <x:v>38</x:v>
      </x:c>
      <x:c r="E457" s="158">
        <x:v>22</x:v>
      </x:c>
      <x:c r="F457" s="23" t="s">
        <x:v>69</x:v>
      </x:c>
      <x:c r="G457" s="23" t="s">
        <x:v>617</x:v>
      </x:c>
      <x:c r="H457" s="142">
        <x:v>46519</x:v>
      </x:c>
      <x:c r="I457" s="124">
        <x:v>27.91</x:v>
      </x:c>
      <x:c r="J457" s="125"/>
      <x:c r="K457" s="25"/>
      <x:c r="L457" s="127"/>
      <x:c r="M457" s="127"/>
    </x:row>
    <x:row r="458" spans="1:13" ht="22.050000000000001">
      <x:c r="A458" s="22" t="s">
        <x:v>697</x:v>
      </x:c>
      <x:c r="B458" s="22" t="s">
        <x:v>311</x:v>
      </x:c>
      <x:c r="C458" s="127" t="s">
        <x:v>692</x:v>
      </x:c>
      <x:c r="D458" s="127">
        <x:v>7</x:v>
      </x:c>
      <x:c r="E458" s="160">
        <x:v>32</x:v>
      </x:c>
      <x:c r="F458" s="22" t="s">
        <x:v>961</x:v>
      </x:c>
      <x:c r="G458" s="22" t="s">
        <x:v>664</x:v>
      </x:c>
      <x:c r="H458" s="144">
        <x:v>46618</x:v>
      </x:c>
      <x:c r="I458" s="127">
        <x:v>18.649999999999999</x:v>
      </x:c>
      <x:c r="J458" s="127"/>
      <x:c r="K458" s="22" t="s">
        <x:v>400</x:v>
      </x:c>
      <x:c r="L458" s="127"/>
      <x:c r="M458" s="127"/>
    </x:row>
    <x:row r="459" spans="1:13" ht="22.050000000000001">
      <x:c r="A459" s="25" t="s">
        <x:v>697</x:v>
      </x:c>
      <x:c r="B459" s="25" t="s">
        <x:v>369</x:v>
      </x:c>
      <x:c r="C459" s="125" t="s">
        <x:v>692</x:v>
      </x:c>
      <x:c r="D459" s="125">
        <x:v>154</x:v>
      </x:c>
      <x:c r="E459" s="159">
        <x:v>34</x:v>
      </x:c>
      <x:c r="F459" s="25" t="s">
        <x:v>960</x:v>
      </x:c>
      <x:c r="G459" s="25" t="s">
        <x:v>664</x:v>
      </x:c>
      <x:c r="H459" s="143">
        <x:v>46696</x:v>
      </x:c>
      <x:c r="I459" s="125">
        <x:v>15.359999999999999</x:v>
      </x:c>
      <x:c r="J459" s="125"/>
      <x:c r="K459" s="25" t="s">
        <x:v>400</x:v>
      </x:c>
      <x:c r="L459" s="127"/>
      <x:c r="M459" s="127"/>
    </x:row>
    <x:row r="460" spans="1:13" ht="22.050000000000001">
      <x:c r="A460" s="22" t="s">
        <x:v>697</x:v>
      </x:c>
      <x:c r="B460" s="22" t="s">
        <x:v>369</x:v>
      </x:c>
      <x:c r="C460" s="127" t="s">
        <x:v>692</x:v>
      </x:c>
      <x:c r="D460" s="127">
        <x:v>154</x:v>
      </x:c>
      <x:c r="E460" s="160">
        <x:v>42</x:v>
      </x:c>
      <x:c r="F460" s="22" t="s">
        <x:v>960</x:v>
      </x:c>
      <x:c r="G460" s="22" t="s">
        <x:v>664</x:v>
      </x:c>
      <x:c r="H460" s="144">
        <x:v>46696</x:v>
      </x:c>
      <x:c r="I460" s="127">
        <x:v>15.57</x:v>
      </x:c>
      <x:c r="J460" s="127"/>
      <x:c r="K460" s="22" t="s">
        <x:v>400</x:v>
      </x:c>
      <x:c r="L460" s="127"/>
      <x:c r="M460" s="127"/>
    </x:row>
    <x:row r="461" spans="1:13" ht="22.050000000000001">
      <x:c r="A461" s="25" t="s">
        <x:v>697</x:v>
      </x:c>
      <x:c r="B461" s="25" t="s">
        <x:v>369</x:v>
      </x:c>
      <x:c r="C461" s="125" t="s">
        <x:v>692</x:v>
      </x:c>
      <x:c r="D461" s="125">
        <x:v>154</x:v>
      </x:c>
      <x:c r="E461" s="159">
        <x:v>44</x:v>
      </x:c>
      <x:c r="F461" s="25" t="s">
        <x:v>960</x:v>
      </x:c>
      <x:c r="G461" s="25" t="s">
        <x:v>664</x:v>
      </x:c>
      <x:c r="H461" s="143">
        <x:v>46696</x:v>
      </x:c>
      <x:c r="I461" s="125">
        <x:v>15.57</x:v>
      </x:c>
      <x:c r="J461" s="125"/>
      <x:c r="K461" s="25" t="s">
        <x:v>400</x:v>
      </x:c>
      <x:c r="L461" s="127"/>
      <x:c r="M461" s="127"/>
    </x:row>
    <x:row r="462" spans="1:13" ht="22.050000000000001">
      <x:c r="A462" s="20" t="s">
        <x:v>585</x:v>
      </x:c>
      <x:c r="B462" s="20" t="s">
        <x:v>311</x:v>
      </x:c>
      <x:c r="C462" s="123" t="s">
        <x:v>692</x:v>
      </x:c>
      <x:c r="D462" s="123">
        <x:v>399</x:v>
      </x:c>
      <x:c r="E462" s="157">
        <x:v>17</x:v>
      </x:c>
      <x:c r="F462" s="20" t="s">
        <x:v>962</x:v>
      </x:c>
      <x:c r="G462" s="20" t="s">
        <x:v>679</x:v>
      </x:c>
      <x:c r="H462" s="141">
        <x:v>46610</x:v>
      </x:c>
      <x:c r="I462" s="123">
        <x:v>16.82</x:v>
      </x:c>
      <x:c r="J462" s="127"/>
      <x:c r="K462" s="22"/>
      <x:c r="L462" s="125"/>
      <x:c r="M462" s="125"/>
    </x:row>
    <x:row r="463" spans="1:13" ht="22.050000000000001">
      <x:c r="A463" s="23" t="s">
        <x:v>585</x:v>
      </x:c>
      <x:c r="B463" s="23" t="s">
        <x:v>311</x:v>
      </x:c>
      <x:c r="C463" s="124" t="s">
        <x:v>692</x:v>
      </x:c>
      <x:c r="D463" s="124">
        <x:v>423</x:v>
      </x:c>
      <x:c r="E463" s="158">
        <x:v>88</x:v>
      </x:c>
      <x:c r="F463" s="23" t="s">
        <x:v>161</x:v>
      </x:c>
      <x:c r="G463" s="23" t="s">
        <x:v>617</x:v>
      </x:c>
      <x:c r="H463" s="142">
        <x:v>46640</x:v>
      </x:c>
      <x:c r="I463" s="124">
        <x:v>17.129999999999999</x:v>
      </x:c>
      <x:c r="J463" s="125"/>
      <x:c r="K463" s="25"/>
      <x:c r="L463" s="127"/>
      <x:c r="M463" s="127"/>
    </x:row>
    <x:row r="464" spans="1:13" ht="22.050000000000001">
      <x:c r="A464" s="20" t="s">
        <x:v>423</x:v>
      </x:c>
      <x:c r="B464" s="30" t="s">
        <x:v>362</x:v>
      </x:c>
      <x:c r="C464" s="123" t="s">
        <x:v>667</x:v>
      </x:c>
      <x:c r="D464" s="123">
        <x:v>640</x:v>
      </x:c>
      <x:c r="E464" s="157">
        <x:v>24</x:v>
      </x:c>
      <x:c r="F464" s="20" t="s">
        <x:v>969</x:v>
      </x:c>
      <x:c r="G464" s="20" t="s">
        <x:v>617</x:v>
      </x:c>
      <x:c r="H464" s="141">
        <x:v>46764</x:v>
      </x:c>
      <x:c r="I464" s="123">
        <x:v>23.649999999999999</x:v>
      </x:c>
      <x:c r="J464" s="127"/>
      <x:c r="K464" s="22"/>
      <x:c r="L464" s="127"/>
      <x:c r="M464" s="127"/>
    </x:row>
    <x:row r="465" spans="1:13" ht="22.050000000000001">
      <x:c r="A465" s="23" t="s">
        <x:v>423</x:v>
      </x:c>
      <x:c r="B465" s="31" t="s">
        <x:v>362</x:v>
      </x:c>
      <x:c r="C465" s="124" t="s">
        <x:v>667</x:v>
      </x:c>
      <x:c r="D465" s="124">
        <x:v>640</x:v>
      </x:c>
      <x:c r="E465" s="158">
        <x:v>89</x:v>
      </x:c>
      <x:c r="F465" s="23" t="s">
        <x:v>969</x:v>
      </x:c>
      <x:c r="G465" s="23" t="s">
        <x:v>290</x:v>
      </x:c>
      <x:c r="H465" s="142">
        <x:v>46764</x:v>
      </x:c>
      <x:c r="I465" s="124">
        <x:v>23.649999999999999</x:v>
      </x:c>
      <x:c r="J465" s="125"/>
      <x:c r="K465" s="25"/>
      <x:c r="L465" s="127"/>
      <x:c r="M465" s="127"/>
    </x:row>
    <x:row r="466" spans="1:13" ht="22.050000000000001">
      <x:c r="A466" s="20" t="s">
        <x:v>727</x:v>
      </x:c>
      <x:c r="B466" s="20" t="s">
        <x:v>533</x:v>
      </x:c>
      <x:c r="C466" s="123"/>
      <x:c r="D466" s="123" t="s">
        <x:v>635</x:v>
      </x:c>
      <x:c r="E466" s="157">
        <x:v>60</x:v>
      </x:c>
      <x:c r="F466" s="20" t="s">
        <x:v>207</x:v>
      </x:c>
      <x:c r="G466" s="20" t="s">
        <x:v>617</x:v>
      </x:c>
      <x:c r="H466" s="141">
        <x:v>46256</x:v>
      </x:c>
      <x:c r="I466" s="123">
        <x:v>6.7999999999999998</x:v>
      </x:c>
      <x:c r="J466" s="127"/>
      <x:c r="K466" s="22"/>
      <x:c r="L466" s="127"/>
      <x:c r="M466" s="127"/>
    </x:row>
    <x:row r="467" spans="1:13" ht="22.050000000000001">
      <x:c r="A467" s="25" t="s">
        <x:v>727</x:v>
      </x:c>
      <x:c r="B467" s="25" t="s">
        <x:v>533</x:v>
      </x:c>
      <x:c r="C467" s="125"/>
      <x:c r="D467" s="125" t="s">
        <x:v>635</x:v>
      </x:c>
      <x:c r="E467" s="159">
        <x:v>150</x:v>
      </x:c>
      <x:c r="F467" s="25" t="s">
        <x:v>207</x:v>
      </x:c>
      <x:c r="G467" s="25" t="s">
        <x:v>664</x:v>
      </x:c>
      <x:c r="H467" s="143">
        <x:v>46256</x:v>
      </x:c>
      <x:c r="I467" s="125">
        <x:v>6.7999999999999998</x:v>
      </x:c>
      <x:c r="J467" s="125" t="s">
        <x:v>416</x:v>
      </x:c>
      <x:c r="K467" s="25" t="s">
        <x:v>1042</x:v>
      </x:c>
      <x:c r="L467" s="127"/>
      <x:c r="M467" s="127"/>
    </x:row>
    <x:row r="468" spans="1:13" ht="22.050000000000001">
      <x:c r="A468" s="20" t="s">
        <x:v>727</x:v>
      </x:c>
      <x:c r="B468" s="20" t="s">
        <x:v>533</x:v>
      </x:c>
      <x:c r="C468" s="123"/>
      <x:c r="D468" s="123" t="s">
        <x:v>635</x:v>
      </x:c>
      <x:c r="E468" s="157">
        <x:v>842</x:v>
      </x:c>
      <x:c r="F468" s="20" t="s">
        <x:v>223</x:v>
      </x:c>
      <x:c r="G468" s="20" t="s">
        <x:v>754</x:v>
      </x:c>
      <x:c r="H468" s="141">
        <x:v>46385</x:v>
      </x:c>
      <x:c r="I468" s="123">
        <x:v>6.7999999999999998</x:v>
      </x:c>
      <x:c r="J468" s="123"/>
      <x:c r="K468" s="22"/>
      <x:c r="L468" s="123"/>
      <x:c r="M468" s="123"/>
    </x:row>
    <x:row r="469" spans="1:13" ht="22.050000000000001">
      <x:c r="A469" s="25" t="s">
        <x:v>727</x:v>
      </x:c>
      <x:c r="B469" s="25" t="s">
        <x:v>533</x:v>
      </x:c>
      <x:c r="C469" s="125"/>
      <x:c r="D469" s="125" t="s">
        <x:v>635</x:v>
      </x:c>
      <x:c r="E469" s="159">
        <x:v>1</x:v>
      </x:c>
      <x:c r="F469" s="25" t="s">
        <x:v>223</x:v>
      </x:c>
      <x:c r="G469" s="25" t="s">
        <x:v>754</x:v>
      </x:c>
      <x:c r="H469" s="143">
        <x:v>46385</x:v>
      </x:c>
      <x:c r="I469" s="125">
        <x:v>6.7999999999999998</x:v>
      </x:c>
      <x:c r="J469" s="125">
        <x:v>46136</x:v>
      </x:c>
      <x:c r="K469" s="25" t="s">
        <x:v>430</x:v>
      </x:c>
      <x:c r="L469" s="125"/>
      <x:c r="M469" s="125"/>
    </x:row>
    <x:row r="470" spans="1:13" ht="22.050000000000001">
      <x:c r="A470" s="42" t="s">
        <x:v>727</x:v>
      </x:c>
      <x:c r="B470" s="42" t="s">
        <x:v>533</x:v>
      </x:c>
      <x:c r="C470" s="134"/>
      <x:c r="D470" s="134" t="s">
        <x:v>618</x:v>
      </x:c>
      <x:c r="E470" s="164">
        <x:v>47</x:v>
      </x:c>
      <x:c r="F470" s="42" t="s">
        <x:v>246</x:v>
      </x:c>
      <x:c r="G470" s="42" t="s">
        <x:v>754</x:v>
      </x:c>
      <x:c r="H470" s="148">
        <x:v>46389</x:v>
      </x:c>
      <x:c r="I470" s="134">
        <x:v>6.7999999999999998</x:v>
      </x:c>
      <x:c r="J470" s="134"/>
      <x:c r="K470" s="22"/>
      <x:c r="L470" s="134"/>
      <x:c r="M470" s="127" t="b">
        <x:v>1</x:v>
      </x:c>
    </x:row>
    <x:row r="471" spans="1:13" ht="22.050000000000001">
      <x:c r="A471" s="43" t="s">
        <x:v>727</x:v>
      </x:c>
      <x:c r="B471" s="43" t="s">
        <x:v>533</x:v>
      </x:c>
      <x:c r="C471" s="135"/>
      <x:c r="D471" s="135" t="s">
        <x:v>635</x:v>
      </x:c>
      <x:c r="E471" s="165">
        <x:v>302</x:v>
      </x:c>
      <x:c r="F471" s="43" t="s">
        <x:v>46</x:v>
      </x:c>
      <x:c r="G471" s="43" t="s">
        <x:v>304</x:v>
      </x:c>
      <x:c r="H471" s="149">
        <x:v>46392</x:v>
      </x:c>
      <x:c r="I471" s="135">
        <x:v>6.7999999999999998</x:v>
      </x:c>
      <x:c r="J471" s="125"/>
      <x:c r="K471" s="25"/>
      <x:c r="L471" s="127"/>
      <x:c r="M471" s="127" t="b">
        <x:v>1</x:v>
      </x:c>
    </x:row>
    <x:row r="472" spans="1:13" ht="22.050000000000001">
      <x:c r="A472" s="42" t="s">
        <x:v>727</x:v>
      </x:c>
      <x:c r="B472" s="42" t="s">
        <x:v>533</x:v>
      </x:c>
      <x:c r="C472" s="134"/>
      <x:c r="D472" s="134" t="s">
        <x:v>635</x:v>
      </x:c>
      <x:c r="E472" s="164">
        <x:v>500</x:v>
      </x:c>
      <x:c r="F472" s="42" t="s">
        <x:v>46</x:v>
      </x:c>
      <x:c r="G472" s="42" t="s">
        <x:v>304</x:v>
      </x:c>
      <x:c r="H472" s="148">
        <x:v>46392</x:v>
      </x:c>
      <x:c r="I472" s="134">
        <x:v>6.7999999999999998</x:v>
      </x:c>
      <x:c r="J472" s="127"/>
      <x:c r="K472" s="22"/>
      <x:c r="L472" s="127"/>
      <x:c r="M472" s="127" t="b">
        <x:v>1</x:v>
      </x:c>
    </x:row>
    <x:row r="473" spans="1:13" ht="22.050000000000001">
      <x:c r="A473" s="43" t="s">
        <x:v>727</x:v>
      </x:c>
      <x:c r="B473" s="43" t="s">
        <x:v>533</x:v>
      </x:c>
      <x:c r="C473" s="135"/>
      <x:c r="D473" s="135" t="s">
        <x:v>625</x:v>
      </x:c>
      <x:c r="E473" s="165">
        <x:v>225</x:v>
      </x:c>
      <x:c r="F473" s="43" t="s">
        <x:v>113</x:v>
      </x:c>
      <x:c r="G473" s="43" t="s">
        <x:v>621</x:v>
      </x:c>
      <x:c r="H473" s="149">
        <x:v>46430</x:v>
      </x:c>
      <x:c r="I473" s="135">
        <x:v>6.7999999999999998</x:v>
      </x:c>
      <x:c r="J473" s="135"/>
      <x:c r="K473" s="25"/>
      <x:c r="L473" s="134"/>
      <x:c r="M473" s="127" t="b">
        <x:v>1</x:v>
      </x:c>
    </x:row>
    <x:row r="474" spans="1:13" ht="22.050000000000001">
      <x:c r="A474" s="42" t="s">
        <x:v>727</x:v>
      </x:c>
      <x:c r="B474" s="42" t="s">
        <x:v>533</x:v>
      </x:c>
      <x:c r="C474" s="134"/>
      <x:c r="D474" s="134" t="s">
        <x:v>670</x:v>
      </x:c>
      <x:c r="E474" s="164">
        <x:v>33</x:v>
      </x:c>
      <x:c r="F474" s="42" t="s">
        <x:v>32</x:v>
      </x:c>
      <x:c r="G474" s="42" t="s">
        <x:v>617</x:v>
      </x:c>
      <x:c r="H474" s="148">
        <x:v>46450</x:v>
      </x:c>
      <x:c r="I474" s="134">
        <x:v>6.7999999999999998</x:v>
      </x:c>
      <x:c r="J474" s="127"/>
      <x:c r="K474" s="22"/>
      <x:c r="L474" s="127"/>
      <x:c r="M474" s="127" t="b">
        <x:v>1</x:v>
      </x:c>
    </x:row>
    <x:row r="475" spans="1:13" ht="22.050000000000001">
      <x:c r="A475" s="23" t="s">
        <x:v>727</x:v>
      </x:c>
      <x:c r="B475" s="23" t="s">
        <x:v>533</x:v>
      </x:c>
      <x:c r="C475" s="124"/>
      <x:c r="D475" s="124" t="s">
        <x:v>670</x:v>
      </x:c>
      <x:c r="E475" s="158">
        <x:v>562</x:v>
      </x:c>
      <x:c r="F475" s="23" t="s">
        <x:v>32</x:v>
      </x:c>
      <x:c r="G475" s="23" t="s">
        <x:v>304</x:v>
      </x:c>
      <x:c r="H475" s="142">
        <x:v>46450</x:v>
      </x:c>
      <x:c r="I475" s="124">
        <x:v>6.7999999999999998</x:v>
      </x:c>
      <x:c r="J475" s="125"/>
      <x:c r="K475" s="25"/>
      <x:c r="L475" s="127"/>
      <x:c r="M475" s="127"/>
    </x:row>
    <x:row r="476" spans="1:13" ht="22.050000000000001">
      <x:c r="A476" s="42" t="s">
        <x:v>727</x:v>
      </x:c>
      <x:c r="B476" s="42" t="s">
        <x:v>533</x:v>
      </x:c>
      <x:c r="C476" s="134"/>
      <x:c r="D476" s="134" t="s">
        <x:v>670</x:v>
      </x:c>
      <x:c r="E476" s="164">
        <x:v>676</x:v>
      </x:c>
      <x:c r="F476" s="42" t="s">
        <x:v>32</x:v>
      </x:c>
      <x:c r="G476" s="42" t="s">
        <x:v>304</x:v>
      </x:c>
      <x:c r="H476" s="148">
        <x:v>46450</x:v>
      </x:c>
      <x:c r="I476" s="134">
        <x:v>6.7999999999999998</x:v>
      </x:c>
      <x:c r="J476" s="127"/>
      <x:c r="K476" s="22"/>
      <x:c r="L476" s="127"/>
      <x:c r="M476" s="127" t="b">
        <x:v>1</x:v>
      </x:c>
    </x:row>
    <x:row r="477" spans="1:13" ht="22.050000000000001">
      <x:c r="A477" s="43" t="s">
        <x:v>727</x:v>
      </x:c>
      <x:c r="B477" s="43" t="s">
        <x:v>533</x:v>
      </x:c>
      <x:c r="C477" s="135"/>
      <x:c r="D477" s="135" t="s">
        <x:v>618</x:v>
      </x:c>
      <x:c r="E477" s="165">
        <x:v>358</x:v>
      </x:c>
      <x:c r="F477" s="43" t="s">
        <x:v>79</x:v>
      </x:c>
      <x:c r="G477" s="43" t="s">
        <x:v>304</x:v>
      </x:c>
      <x:c r="H477" s="149">
        <x:v>46469</x:v>
      </x:c>
      <x:c r="I477" s="135">
        <x:v>6.7999999999999998</x:v>
      </x:c>
      <x:c r="J477" s="125"/>
      <x:c r="K477" s="25"/>
      <x:c r="L477" s="127"/>
      <x:c r="M477" s="127" t="b">
        <x:v>1</x:v>
      </x:c>
    </x:row>
    <x:row r="478" spans="1:13" ht="22.050000000000001">
      <x:c r="A478" s="42" t="s">
        <x:v>727</x:v>
      </x:c>
      <x:c r="B478" s="42" t="s">
        <x:v>533</x:v>
      </x:c>
      <x:c r="C478" s="134"/>
      <x:c r="D478" s="134" t="s">
        <x:v>618</x:v>
      </x:c>
      <x:c r="E478" s="164">
        <x:v>809</x:v>
      </x:c>
      <x:c r="F478" s="42" t="s">
        <x:v>79</x:v>
      </x:c>
      <x:c r="G478" s="42" t="s">
        <x:v>304</x:v>
      </x:c>
      <x:c r="H478" s="148">
        <x:v>46469</x:v>
      </x:c>
      <x:c r="I478" s="134">
        <x:v>6.7999999999999998</x:v>
      </x:c>
      <x:c r="J478" s="127"/>
      <x:c r="K478" s="22"/>
      <x:c r="L478" s="127"/>
      <x:c r="M478" s="127" t="b">
        <x:v>1</x:v>
      </x:c>
    </x:row>
    <x:row r="479" spans="1:13" ht="22.050000000000001">
      <x:c r="A479" s="43" t="s">
        <x:v>727</x:v>
      </x:c>
      <x:c r="B479" s="43" t="s">
        <x:v>533</x:v>
      </x:c>
      <x:c r="C479" s="135"/>
      <x:c r="D479" s="135" t="s">
        <x:v>670</x:v>
      </x:c>
      <x:c r="E479" s="165">
        <x:v>1684</x:v>
      </x:c>
      <x:c r="F479" s="43" t="s">
        <x:v>95</x:v>
      </x:c>
      <x:c r="G479" s="43" t="s">
        <x:v>754</x:v>
      </x:c>
      <x:c r="H479" s="149">
        <x:v>46478</x:v>
      </x:c>
      <x:c r="I479" s="135">
        <x:v>6.7999999999999998</x:v>
      </x:c>
      <x:c r="J479" s="125"/>
      <x:c r="K479" s="25"/>
      <x:c r="L479" s="127"/>
      <x:c r="M479" s="127" t="b">
        <x:v>1</x:v>
      </x:c>
    </x:row>
    <x:row r="480" spans="1:13" ht="22.050000000000001">
      <x:c r="A480" s="42" t="s">
        <x:v>727</x:v>
      </x:c>
      <x:c r="B480" s="42" t="s">
        <x:v>533</x:v>
      </x:c>
      <x:c r="C480" s="134"/>
      <x:c r="D480" s="134" t="s">
        <x:v>618</x:v>
      </x:c>
      <x:c r="E480" s="164">
        <x:v>611</x:v>
      </x:c>
      <x:c r="F480" s="42" t="s">
        <x:v>953</x:v>
      </x:c>
      <x:c r="G480" s="42" t="s">
        <x:v>690</x:v>
      </x:c>
      <x:c r="H480" s="148">
        <x:v>46542</x:v>
      </x:c>
      <x:c r="I480" s="134">
        <x:v>6.7999999999999998</x:v>
      </x:c>
      <x:c r="J480" s="127"/>
      <x:c r="K480" s="22"/>
      <x:c r="L480" s="127"/>
      <x:c r="M480" s="127" t="b">
        <x:v>1</x:v>
      </x:c>
    </x:row>
    <x:row r="481" spans="1:13" ht="22.050000000000001">
      <x:c r="A481" s="43" t="s">
        <x:v>727</x:v>
      </x:c>
      <x:c r="B481" s="43" t="s">
        <x:v>533</x:v>
      </x:c>
      <x:c r="C481" s="135"/>
      <x:c r="D481" s="135" t="s">
        <x:v>625</x:v>
      </x:c>
      <x:c r="E481" s="165">
        <x:v>28</x:v>
      </x:c>
      <x:c r="F481" s="43" t="s">
        <x:v>999</x:v>
      </x:c>
      <x:c r="G481" s="43" t="s">
        <x:v>679</x:v>
      </x:c>
      <x:c r="H481" s="149">
        <x:v>46560</x:v>
      </x:c>
      <x:c r="I481" s="135">
        <x:v>6.7999999999999998</x:v>
      </x:c>
      <x:c r="J481" s="125"/>
      <x:c r="K481" s="25"/>
      <x:c r="L481" s="127"/>
      <x:c r="M481" s="127" t="b">
        <x:v>1</x:v>
      </x:c>
    </x:row>
    <x:row r="482" spans="1:13" ht="22.050000000000001">
      <x:c r="A482" s="42" t="s">
        <x:v>727</x:v>
      </x:c>
      <x:c r="B482" s="42" t="s">
        <x:v>533</x:v>
      </x:c>
      <x:c r="C482" s="134"/>
      <x:c r="D482" s="134" t="s">
        <x:v>618</x:v>
      </x:c>
      <x:c r="E482" s="164">
        <x:v>100</x:v>
      </x:c>
      <x:c r="F482" s="42" t="s">
        <x:v>989</x:v>
      </x:c>
      <x:c r="G482" s="42" t="s">
        <x:v>628</x:v>
      </x:c>
      <x:c r="H482" s="148">
        <x:v>46589</x:v>
      </x:c>
      <x:c r="I482" s="134">
        <x:v>6.7999999999999998</x:v>
      </x:c>
      <x:c r="J482" s="127"/>
      <x:c r="K482" s="22"/>
      <x:c r="L482" s="127"/>
      <x:c r="M482" s="127" t="b">
        <x:v>1</x:v>
      </x:c>
    </x:row>
    <x:row r="483" spans="1:13" ht="22.050000000000001">
      <x:c r="A483" s="43" t="s">
        <x:v>727</x:v>
      </x:c>
      <x:c r="B483" s="43" t="s">
        <x:v>533</x:v>
      </x:c>
      <x:c r="C483" s="135"/>
      <x:c r="D483" s="135" t="s">
        <x:v>618</x:v>
      </x:c>
      <x:c r="E483" s="165">
        <x:v>372</x:v>
      </x:c>
      <x:c r="F483" s="43" t="s">
        <x:v>989</x:v>
      </x:c>
      <x:c r="G483" s="43" t="s">
        <x:v>628</x:v>
      </x:c>
      <x:c r="H483" s="149">
        <x:v>46589</x:v>
      </x:c>
      <x:c r="I483" s="135">
        <x:v>6.7999999999999998</x:v>
      </x:c>
      <x:c r="J483" s="135"/>
      <x:c r="K483" s="25"/>
      <x:c r="L483" s="134"/>
      <x:c r="M483" s="127" t="b">
        <x:v>1</x:v>
      </x:c>
    </x:row>
    <x:row r="484" spans="1:13" ht="22.050000000000001">
      <x:c r="A484" s="42" t="s">
        <x:v>727</x:v>
      </x:c>
      <x:c r="B484" s="42" t="s">
        <x:v>533</x:v>
      </x:c>
      <x:c r="C484" s="134"/>
      <x:c r="D484" s="134" t="s">
        <x:v>670</x:v>
      </x:c>
      <x:c r="E484" s="164">
        <x:v>50</x:v>
      </x:c>
      <x:c r="F484" s="42" t="s">
        <x:v>35</x:v>
      </x:c>
      <x:c r="G484" s="42" t="s">
        <x:v>652</x:v>
      </x:c>
      <x:c r="H484" s="148">
        <x:v>46659</x:v>
      </x:c>
      <x:c r="I484" s="134">
        <x:v>6.7999999999999998</x:v>
      </x:c>
      <x:c r="J484" s="127"/>
      <x:c r="K484" s="22"/>
      <x:c r="L484" s="127"/>
      <x:c r="M484" s="127" t="b">
        <x:v>1</x:v>
      </x:c>
    </x:row>
    <x:row r="485" spans="1:13" ht="22.050000000000001">
      <x:c r="A485" s="43" t="s">
        <x:v>727</x:v>
      </x:c>
      <x:c r="B485" s="43" t="s">
        <x:v>533</x:v>
      </x:c>
      <x:c r="C485" s="135"/>
      <x:c r="D485" s="135" t="s">
        <x:v>625</x:v>
      </x:c>
      <x:c r="E485" s="165">
        <x:v>1300</x:v>
      </x:c>
      <x:c r="F485" s="43" t="s">
        <x:v>58</x:v>
      </x:c>
      <x:c r="G485" s="43" t="s">
        <x:v>628</x:v>
      </x:c>
      <x:c r="H485" s="149">
        <x:v>46695</x:v>
      </x:c>
      <x:c r="I485" s="135">
        <x:v>6.7999999999999998</x:v>
      </x:c>
      <x:c r="J485" s="125"/>
      <x:c r="K485" s="32"/>
      <x:c r="L485" s="125"/>
      <x:c r="M485" s="127" t="b">
        <x:v>1</x:v>
      </x:c>
    </x:row>
    <x:row r="486" spans="1:13" ht="22.050000000000001">
      <x:c r="A486" s="44" t="s">
        <x:v>727</x:v>
      </x:c>
      <x:c r="B486" s="44" t="s">
        <x:v>533</x:v>
      </x:c>
      <x:c r="C486" s="136"/>
      <x:c r="D486" s="136" t="s">
        <x:v>635</x:v>
      </x:c>
      <x:c r="E486" s="166">
        <x:v>1</x:v>
      </x:c>
      <x:c r="F486" s="44" t="s">
        <x:v>272</x:v>
      </x:c>
      <x:c r="G486" s="44" t="s">
        <x:v>620</x:v>
      </x:c>
      <x:c r="H486" s="150">
        <x:v>46700</x:v>
      </x:c>
      <x:c r="I486" s="136">
        <x:v>6.7999999999999998</x:v>
      </x:c>
      <x:c r="J486" s="127"/>
      <x:c r="K486" s="22" t="s">
        <x:v>391</x:v>
      </x:c>
      <x:c r="L486" s="127"/>
      <x:c r="M486" s="127" t="b">
        <x:v>1</x:v>
      </x:c>
    </x:row>
    <x:row r="487" spans="1:13" ht="22.050000000000001">
      <x:c r="A487" s="45" t="s">
        <x:v>727</x:v>
      </x:c>
      <x:c r="B487" s="45" t="s">
        <x:v>533</x:v>
      </x:c>
      <x:c r="C487" s="137"/>
      <x:c r="D487" s="137" t="s">
        <x:v>635</x:v>
      </x:c>
      <x:c r="E487" s="167">
        <x:v>2498</x:v>
      </x:c>
      <x:c r="F487" s="45" t="s">
        <x:v>272</x:v>
      </x:c>
      <x:c r="G487" s="45" t="s">
        <x:v>620</x:v>
      </x:c>
      <x:c r="H487" s="151">
        <x:v>46700</x:v>
      </x:c>
      <x:c r="I487" s="137">
        <x:v>6.7999999999999998</x:v>
      </x:c>
      <x:c r="J487" s="125"/>
      <x:c r="K487" s="25"/>
      <x:c r="L487" s="127"/>
      <x:c r="M487" s="127" t="b">
        <x:v>1</x:v>
      </x:c>
    </x:row>
    <x:row r="488" spans="1:13" ht="22.050000000000001">
      <x:c r="A488" s="20" t="s">
        <x:v>727</x:v>
      </x:c>
      <x:c r="B488" s="20" t="s">
        <x:v>533</x:v>
      </x:c>
      <x:c r="C488" s="123"/>
      <x:c r="D488" s="123" t="s">
        <x:v>618</x:v>
      </x:c>
      <x:c r="E488" s="157">
        <x:v>400</x:v>
      </x:c>
      <x:c r="F488" s="20" t="s">
        <x:v>990</x:v>
      </x:c>
      <x:c r="G488" s="20" t="s">
        <x:v>754</x:v>
      </x:c>
      <x:c r="H488" s="141">
        <x:v>46760</x:v>
      </x:c>
      <x:c r="I488" s="123">
        <x:v>6.7999999999999998</x:v>
      </x:c>
      <x:c r="J488" s="127"/>
      <x:c r="K488" s="22"/>
      <x:c r="L488" s="125"/>
      <x:c r="M488" s="125"/>
    </x:row>
    <x:row r="489" spans="1:13" ht="22.050000000000001">
      <x:c r="A489" s="46" t="s">
        <x:v>727</x:v>
      </x:c>
      <x:c r="B489" s="46" t="s">
        <x:v>573</x:v>
      </x:c>
      <x:c r="C489" s="135"/>
      <x:c r="D489" s="135" t="s">
        <x:v>540</x:v>
      </x:c>
      <x:c r="E489" s="165">
        <x:v>19</x:v>
      </x:c>
      <x:c r="F489" s="46" t="s">
        <x:v>1062</x:v>
      </x:c>
      <x:c r="G489" s="46" t="s">
        <x:v>679</x:v>
      </x:c>
      <x:c r="H489" s="149">
        <x:v>46541</x:v>
      </x:c>
      <x:c r="I489" s="135">
        <x:v>9.9800000000000004</x:v>
      </x:c>
      <x:c r="J489" s="125"/>
      <x:c r="K489" s="25"/>
      <x:c r="L489" s="127"/>
      <x:c r="M489" s="127" t="b">
        <x:v>1</x:v>
      </x:c>
    </x:row>
    <x:row r="490" spans="1:13" ht="22.050000000000001">
      <x:c r="A490" s="42" t="s">
        <x:v>727</x:v>
      </x:c>
      <x:c r="B490" s="42" t="s">
        <x:v>573</x:v>
      </x:c>
      <x:c r="C490" s="134"/>
      <x:c r="D490" s="134">
        <x:v>969</x:v>
      </x:c>
      <x:c r="E490" s="164">
        <x:v>45</x:v>
      </x:c>
      <x:c r="F490" s="42" t="s">
        <x:v>59</x:v>
      </x:c>
      <x:c r="G490" s="42" t="s">
        <x:v>617</x:v>
      </x:c>
      <x:c r="H490" s="148">
        <x:v>46550</x:v>
      </x:c>
      <x:c r="I490" s="134">
        <x:v>9.9800000000000004</x:v>
      </x:c>
      <x:c r="J490" s="127"/>
      <x:c r="K490" s="22"/>
      <x:c r="L490" s="127"/>
      <x:c r="M490" s="127" t="b">
        <x:v>1</x:v>
      </x:c>
    </x:row>
    <x:row r="491" spans="1:13" ht="22.050000000000001">
      <x:c r="A491" s="43" t="s">
        <x:v>727</x:v>
      </x:c>
      <x:c r="B491" s="43" t="s">
        <x:v>573</x:v>
      </x:c>
      <x:c r="C491" s="135"/>
      <x:c r="D491" s="135">
        <x:v>969</x:v>
      </x:c>
      <x:c r="E491" s="165">
        <x:v>92</x:v>
      </x:c>
      <x:c r="F491" s="43" t="s">
        <x:v>59</x:v>
      </x:c>
      <x:c r="G491" s="43" t="s">
        <x:v>679</x:v>
      </x:c>
      <x:c r="H491" s="149">
        <x:v>46550</x:v>
      </x:c>
      <x:c r="I491" s="135">
        <x:v>9.9800000000000004</x:v>
      </x:c>
      <x:c r="J491" s="125"/>
      <x:c r="K491" s="25"/>
      <x:c r="L491" s="127"/>
      <x:c r="M491" s="127" t="b">
        <x:v>1</x:v>
      </x:c>
    </x:row>
    <x:row r="492" spans="1:13" ht="22.050000000000001">
      <x:c r="A492" s="20" t="s">
        <x:v>727</x:v>
      </x:c>
      <x:c r="B492" s="20" t="s">
        <x:v>573</x:v>
      </x:c>
      <x:c r="C492" s="123"/>
      <x:c r="D492" s="123" t="s">
        <x:v>685</x:v>
      </x:c>
      <x:c r="E492" s="157">
        <x:v>122</x:v>
      </x:c>
      <x:c r="F492" s="20" t="s">
        <x:v>50</x:v>
      </x:c>
      <x:c r="G492" s="20" t="s">
        <x:v>617</x:v>
      </x:c>
      <x:c r="H492" s="141">
        <x:v>46661</x:v>
      </x:c>
      <x:c r="I492" s="123">
        <x:v>9.9800000000000004</x:v>
      </x:c>
      <x:c r="J492" s="127"/>
      <x:c r="K492" s="22"/>
      <x:c r="L492" s="127"/>
      <x:c r="M492" s="127"/>
    </x:row>
    <x:row r="493" spans="1:13" ht="22.050000000000001">
      <x:c r="A493" s="43" t="s">
        <x:v>727</x:v>
      </x:c>
      <x:c r="B493" s="43" t="s">
        <x:v>573</x:v>
      </x:c>
      <x:c r="C493" s="135"/>
      <x:c r="D493" s="135" t="s">
        <x:v>540</x:v>
      </x:c>
      <x:c r="E493" s="165">
        <x:v>137</x:v>
      </x:c>
      <x:c r="F493" s="43" t="s">
        <x:v>23</x:v>
      </x:c>
      <x:c r="G493" s="43" t="s">
        <x:v>679</x:v>
      </x:c>
      <x:c r="H493" s="149">
        <x:v>46672</x:v>
      </x:c>
      <x:c r="I493" s="135">
        <x:v>9.9800000000000004</x:v>
      </x:c>
      <x:c r="J493" s="125"/>
      <x:c r="K493" s="25"/>
      <x:c r="L493" s="125"/>
      <x:c r="M493" s="127" t="b">
        <x:v>1</x:v>
      </x:c>
    </x:row>
    <x:row r="494" spans="1:13" ht="22.050000000000001">
      <x:c r="A494" s="20" t="s">
        <x:v>586</x:v>
      </x:c>
      <x:c r="B494" s="20" t="s">
        <x:v>693</x:v>
      </x:c>
      <x:c r="C494" s="123" t="s">
        <x:v>667</x:v>
      </x:c>
      <x:c r="D494" s="123">
        <x:v>170</x:v>
      </x:c>
      <x:c r="E494" s="157">
        <x:v>25</x:v>
      </x:c>
      <x:c r="F494" s="20" t="s">
        <x:v>72</x:v>
      </x:c>
      <x:c r="G494" s="20" t="s">
        <x:v>748</x:v>
      </x:c>
      <x:c r="H494" s="141">
        <x:v>46408</x:v>
      </x:c>
      <x:c r="I494" s="123">
        <x:v>17.949999999999999</x:v>
      </x:c>
      <x:c r="J494" s="127"/>
      <x:c r="K494" s="22"/>
      <x:c r="L494" s="127"/>
      <x:c r="M494" s="127"/>
    </x:row>
    <x:row r="495" spans="1:13" ht="22.050000000000001">
      <x:c r="A495" s="23" t="s">
        <x:v>586</x:v>
      </x:c>
      <x:c r="B495" s="23" t="s">
        <x:v>693</x:v>
      </x:c>
      <x:c r="C495" s="124" t="s">
        <x:v>667</x:v>
      </x:c>
      <x:c r="D495" s="124">
        <x:v>517</x:v>
      </x:c>
      <x:c r="E495" s="158">
        <x:v>66</x:v>
      </x:c>
      <x:c r="F495" s="23" t="s">
        <x:v>74</x:v>
      </x:c>
      <x:c r="G495" s="23" t="s">
        <x:v>621</x:v>
      </x:c>
      <x:c r="H495" s="142">
        <x:v>46410</x:v>
      </x:c>
      <x:c r="I495" s="124">
        <x:v>16.370000000000001</x:v>
      </x:c>
      <x:c r="J495" s="125"/>
      <x:c r="K495" s="25"/>
      <x:c r="L495" s="127"/>
      <x:c r="M495" s="127"/>
    </x:row>
    <x:row r="496" spans="1:13" ht="22.050000000000001">
      <x:c r="A496" s="20" t="s">
        <x:v>586</x:v>
      </x:c>
      <x:c r="B496" s="20" t="s">
        <x:v>693</x:v>
      </x:c>
      <x:c r="C496" s="123" t="s">
        <x:v>667</x:v>
      </x:c>
      <x:c r="D496" s="123">
        <x:v>517</x:v>
      </x:c>
      <x:c r="E496" s="157">
        <x:v>20</x:v>
      </x:c>
      <x:c r="F496" s="20" t="s">
        <x:v>49</x:v>
      </x:c>
      <x:c r="G496" s="20" t="s">
        <x:v>621</x:v>
      </x:c>
      <x:c r="H496" s="141">
        <x:v>46423</x:v>
      </x:c>
      <x:c r="I496" s="123">
        <x:v>16.460000000000001</x:v>
      </x:c>
      <x:c r="J496" s="127"/>
      <x:c r="K496" s="37"/>
      <x:c r="L496" s="125"/>
      <x:c r="M496" s="125"/>
    </x:row>
    <x:row r="497" spans="1:13" ht="22.050000000000001">
      <x:c r="A497" s="23" t="s">
        <x:v>586</x:v>
      </x:c>
      <x:c r="B497" s="23" t="s">
        <x:v>693</x:v>
      </x:c>
      <x:c r="C497" s="124" t="s">
        <x:v>667</x:v>
      </x:c>
      <x:c r="D497" s="124">
        <x:v>517</x:v>
      </x:c>
      <x:c r="E497" s="158">
        <x:v>197</x:v>
      </x:c>
      <x:c r="F497" s="23" t="s">
        <x:v>49</x:v>
      </x:c>
      <x:c r="G497" s="23" t="s">
        <x:v>621</x:v>
      </x:c>
      <x:c r="H497" s="142">
        <x:v>46423</x:v>
      </x:c>
      <x:c r="I497" s="124">
        <x:v>16.460000000000001</x:v>
      </x:c>
      <x:c r="J497" s="125"/>
      <x:c r="K497" s="25"/>
      <x:c r="L497" s="127"/>
      <x:c r="M497" s="127"/>
    </x:row>
    <x:row r="498" spans="1:13" ht="22.050000000000001">
      <x:c r="A498" s="20" t="s">
        <x:v>586</x:v>
      </x:c>
      <x:c r="B498" s="20" t="s">
        <x:v>693</x:v>
      </x:c>
      <x:c r="C498" s="123" t="s">
        <x:v>667</x:v>
      </x:c>
      <x:c r="D498" s="123">
        <x:v>517</x:v>
      </x:c>
      <x:c r="E498" s="157">
        <x:v>106</x:v>
      </x:c>
      <x:c r="F498" s="20" t="s">
        <x:v>43</x:v>
      </x:c>
      <x:c r="G498" s="20" t="s">
        <x:v>621</x:v>
      </x:c>
      <x:c r="H498" s="141">
        <x:v>46428</x:v>
      </x:c>
      <x:c r="I498" s="123">
        <x:v>16.399999999999999</x:v>
      </x:c>
      <x:c r="J498" s="127"/>
      <x:c r="K498" s="37"/>
      <x:c r="L498" s="125"/>
      <x:c r="M498" s="125"/>
    </x:row>
    <x:row r="499" spans="1:13" ht="22.050000000000001">
      <x:c r="A499" s="23" t="s">
        <x:v>586</x:v>
      </x:c>
      <x:c r="B499" s="23" t="s">
        <x:v>693</x:v>
      </x:c>
      <x:c r="C499" s="124" t="s">
        <x:v>667</x:v>
      </x:c>
      <x:c r="D499" s="124">
        <x:v>517</x:v>
      </x:c>
      <x:c r="E499" s="158">
        <x:v>102</x:v>
      </x:c>
      <x:c r="F499" s="23" t="s">
        <x:v>68</x:v>
      </x:c>
      <x:c r="G499" s="23" t="s">
        <x:v>621</x:v>
      </x:c>
      <x:c r="H499" s="142">
        <x:v>46448</x:v>
      </x:c>
      <x:c r="I499" s="124">
        <x:v>16.280000000000001</x:v>
      </x:c>
      <x:c r="J499" s="125"/>
      <x:c r="K499" s="25"/>
      <x:c r="L499" s="127"/>
      <x:c r="M499" s="127"/>
    </x:row>
    <x:row r="500" spans="1:13" ht="22.050000000000001">
      <x:c r="A500" s="42" t="s">
        <x:v>586</x:v>
      </x:c>
      <x:c r="B500" s="42" t="s">
        <x:v>693</x:v>
      </x:c>
      <x:c r="C500" s="134" t="s">
        <x:v>667</x:v>
      </x:c>
      <x:c r="D500" s="134">
        <x:v>517</x:v>
      </x:c>
      <x:c r="E500" s="164">
        <x:v>106</x:v>
      </x:c>
      <x:c r="F500" s="42" t="s">
        <x:v>115</x:v>
      </x:c>
      <x:c r="G500" s="42" t="s">
        <x:v>621</x:v>
      </x:c>
      <x:c r="H500" s="148">
        <x:v>46452</x:v>
      </x:c>
      <x:c r="I500" s="134">
        <x:v>16.469999999999999</x:v>
      </x:c>
      <x:c r="J500" s="127"/>
      <x:c r="K500" s="37"/>
      <x:c r="L500" s="125"/>
      <x:c r="M500" s="127" t="b">
        <x:v>1</x:v>
      </x:c>
    </x:row>
    <x:row r="501" spans="1:13" ht="22.050000000000001">
      <x:c r="A501" s="43" t="s">
        <x:v>586</x:v>
      </x:c>
      <x:c r="B501" s="43" t="s">
        <x:v>693</x:v>
      </x:c>
      <x:c r="C501" s="135" t="s">
        <x:v>667</x:v>
      </x:c>
      <x:c r="D501" s="135">
        <x:v>517</x:v>
      </x:c>
      <x:c r="E501" s="165">
        <x:v>106</x:v>
      </x:c>
      <x:c r="F501" s="43" t="s">
        <x:v>115</x:v>
      </x:c>
      <x:c r="G501" s="43" t="s">
        <x:v>621</x:v>
      </x:c>
      <x:c r="H501" s="149">
        <x:v>46452</x:v>
      </x:c>
      <x:c r="I501" s="135">
        <x:v>16.469999999999999</x:v>
      </x:c>
      <x:c r="J501" s="125"/>
      <x:c r="K501" s="25"/>
      <x:c r="L501" s="127"/>
      <x:c r="M501" s="127" t="b">
        <x:v>1</x:v>
      </x:c>
    </x:row>
    <x:row r="502" spans="1:13" ht="22.050000000000001">
      <x:c r="A502" s="42" t="s">
        <x:v>586</x:v>
      </x:c>
      <x:c r="B502" s="42" t="s">
        <x:v>693</x:v>
      </x:c>
      <x:c r="C502" s="134" t="s">
        <x:v>667</x:v>
      </x:c>
      <x:c r="D502" s="134">
        <x:v>235</x:v>
      </x:c>
      <x:c r="E502" s="164">
        <x:v>20</x:v>
      </x:c>
      <x:c r="F502" s="42" t="s">
        <x:v>127</x:v>
      </x:c>
      <x:c r="G502" s="42" t="s">
        <x:v>679</x:v>
      </x:c>
      <x:c r="H502" s="148">
        <x:v>46525</x:v>
      </x:c>
      <x:c r="I502" s="134">
        <x:v>18.02</x:v>
      </x:c>
      <x:c r="J502" s="127"/>
      <x:c r="K502" s="22"/>
      <x:c r="L502" s="127"/>
      <x:c r="M502" s="127" t="b">
        <x:v>1</x:v>
      </x:c>
    </x:row>
    <x:row r="503" spans="1:13" ht="22.050000000000001">
      <x:c r="A503" s="43" t="s">
        <x:v>586</x:v>
      </x:c>
      <x:c r="B503" s="43" t="s">
        <x:v>693</x:v>
      </x:c>
      <x:c r="C503" s="135" t="s">
        <x:v>667</x:v>
      </x:c>
      <x:c r="D503" s="135">
        <x:v>235</x:v>
      </x:c>
      <x:c r="E503" s="165">
        <x:v>32</x:v>
      </x:c>
      <x:c r="F503" s="43" t="s">
        <x:v>127</x:v>
      </x:c>
      <x:c r="G503" s="43" t="s">
        <x:v>617</x:v>
      </x:c>
      <x:c r="H503" s="149">
        <x:v>46525</x:v>
      </x:c>
      <x:c r="I503" s="135">
        <x:v>18.02</x:v>
      </x:c>
      <x:c r="J503" s="125"/>
      <x:c r="K503" s="25"/>
      <x:c r="L503" s="127"/>
      <x:c r="M503" s="127" t="b">
        <x:v>1</x:v>
      </x:c>
    </x:row>
    <x:row r="504" spans="1:13" ht="22.050000000000001">
      <x:c r="A504" s="20" t="s">
        <x:v>586</x:v>
      </x:c>
      <x:c r="B504" s="20" t="s">
        <x:v>693</x:v>
      </x:c>
      <x:c r="C504" s="123" t="s">
        <x:v>667</x:v>
      </x:c>
      <x:c r="D504" s="123">
        <x:v>170</x:v>
      </x:c>
      <x:c r="E504" s="157">
        <x:v>5</x:v>
      </x:c>
      <x:c r="F504" s="20" t="s">
        <x:v>198</x:v>
      </x:c>
      <x:c r="G504" s="20" t="s">
        <x:v>748</x:v>
      </x:c>
      <x:c r="H504" s="141">
        <x:v>46539</x:v>
      </x:c>
      <x:c r="I504" s="123">
        <x:v>18.129999999999999</x:v>
      </x:c>
      <x:c r="J504" s="127"/>
      <x:c r="K504" s="22"/>
      <x:c r="L504" s="127"/>
      <x:c r="M504" s="127"/>
    </x:row>
    <x:row r="505" spans="1:13" ht="22.050000000000001">
      <x:c r="A505" s="23" t="s">
        <x:v>586</x:v>
      </x:c>
      <x:c r="B505" s="23" t="s">
        <x:v>693</x:v>
      </x:c>
      <x:c r="C505" s="124"/>
      <x:c r="D505" s="124">
        <x:v>688</x:v>
      </x:c>
      <x:c r="E505" s="158">
        <x:v>25</x:v>
      </x:c>
      <x:c r="F505" s="23" t="s">
        <x:v>1081</x:v>
      </x:c>
      <x:c r="G505" s="23" t="s">
        <x:v>748</x:v>
      </x:c>
      <x:c r="H505" s="142">
        <x:v>46718</x:v>
      </x:c>
      <x:c r="I505" s="124">
        <x:v>27.219999999999999</x:v>
      </x:c>
      <x:c r="J505" s="125"/>
      <x:c r="K505" s="25"/>
      <x:c r="L505" s="127"/>
      <x:c r="M505" s="127"/>
    </x:row>
    <x:row r="506" spans="1:13" ht="22.050000000000001">
      <x:c r="A506" s="20" t="s">
        <x:v>586</x:v>
      </x:c>
      <x:c r="B506" s="20" t="s">
        <x:v>693</x:v>
      </x:c>
      <x:c r="C506" s="123"/>
      <x:c r="D506" s="123">
        <x:v>688</x:v>
      </x:c>
      <x:c r="E506" s="157">
        <x:v>25</x:v>
      </x:c>
      <x:c r="F506" s="20" t="s">
        <x:v>1081</x:v>
      </x:c>
      <x:c r="G506" s="20" t="s">
        <x:v>748</x:v>
      </x:c>
      <x:c r="H506" s="141">
        <x:v>46718</x:v>
      </x:c>
      <x:c r="I506" s="123">
        <x:v>27.219999999999999</x:v>
      </x:c>
      <x:c r="J506" s="127"/>
      <x:c r="K506" s="22"/>
      <x:c r="L506" s="127"/>
      <x:c r="M506" s="127"/>
    </x:row>
    <x:row r="507" spans="1:13" ht="22.050000000000001">
      <x:c r="A507" s="23" t="s">
        <x:v>586</x:v>
      </x:c>
      <x:c r="B507" s="23" t="s">
        <x:v>693</x:v>
      </x:c>
      <x:c r="C507" s="124"/>
      <x:c r="D507" s="124">
        <x:v>688</x:v>
      </x:c>
      <x:c r="E507" s="158">
        <x:v>26</x:v>
      </x:c>
      <x:c r="F507" s="23" t="s">
        <x:v>1081</x:v>
      </x:c>
      <x:c r="G507" s="23" t="s">
        <x:v>748</x:v>
      </x:c>
      <x:c r="H507" s="142">
        <x:v>46718</x:v>
      </x:c>
      <x:c r="I507" s="124">
        <x:v>27.219999999999999</x:v>
      </x:c>
      <x:c r="J507" s="125"/>
      <x:c r="K507" s="25"/>
      <x:c r="L507" s="127"/>
      <x:c r="M507" s="127"/>
    </x:row>
    <x:row r="508" spans="1:13" ht="22.050000000000001">
      <x:c r="A508" s="20" t="s">
        <x:v>586</x:v>
      </x:c>
      <x:c r="B508" s="20" t="s">
        <x:v>693</x:v>
      </x:c>
      <x:c r="C508" s="123"/>
      <x:c r="D508" s="123">
        <x:v>688</x:v>
      </x:c>
      <x:c r="E508" s="157">
        <x:v>28</x:v>
      </x:c>
      <x:c r="F508" s="20" t="s">
        <x:v>1081</x:v>
      </x:c>
      <x:c r="G508" s="20" t="s">
        <x:v>748</x:v>
      </x:c>
      <x:c r="H508" s="141">
        <x:v>46718</x:v>
      </x:c>
      <x:c r="I508" s="123">
        <x:v>27.219999999999999</x:v>
      </x:c>
      <x:c r="J508" s="127"/>
      <x:c r="K508" s="22"/>
      <x:c r="L508" s="127"/>
      <x:c r="M508" s="127"/>
    </x:row>
    <x:row r="509" spans="1:13" ht="22.050000000000001">
      <x:c r="A509" s="23" t="s">
        <x:v>586</x:v>
      </x:c>
      <x:c r="B509" s="23" t="s">
        <x:v>573</x:v>
      </x:c>
      <x:c r="C509" s="124"/>
      <x:c r="D509" s="124">
        <x:v>38</x:v>
      </x:c>
      <x:c r="E509" s="158">
        <x:v>4</x:v>
      </x:c>
      <x:c r="F509" s="23" t="s">
        <x:v>994</x:v>
      </x:c>
      <x:c r="G509" s="23" t="s">
        <x:v>617</x:v>
      </x:c>
      <x:c r="H509" s="142">
        <x:v>46357</x:v>
      </x:c>
      <x:c r="I509" s="124">
        <x:v>4.9948098160000001</x:v>
      </x:c>
      <x:c r="J509" s="125"/>
      <x:c r="K509" s="25"/>
      <x:c r="L509" s="127"/>
      <x:c r="M509" s="127"/>
    </x:row>
    <x:row r="510" spans="1:13" ht="22.050000000000001">
      <x:c r="A510" s="20" t="s">
        <x:v>586</x:v>
      </x:c>
      <x:c r="B510" s="20" t="s">
        <x:v>573</x:v>
      </x:c>
      <x:c r="C510" s="123"/>
      <x:c r="D510" s="123">
        <x:v>38</x:v>
      </x:c>
      <x:c r="E510" s="157">
        <x:v>350</x:v>
      </x:c>
      <x:c r="F510" s="20" t="s">
        <x:v>238</x:v>
      </x:c>
      <x:c r="G510" s="20" t="s">
        <x:v>679</x:v>
      </x:c>
      <x:c r="H510" s="141">
        <x:v>46399</x:v>
      </x:c>
      <x:c r="I510" s="123">
        <x:v>4.9299999999999997</x:v>
      </x:c>
      <x:c r="J510" s="127"/>
      <x:c r="K510" s="22"/>
      <x:c r="L510" s="127"/>
      <x:c r="M510" s="127"/>
    </x:row>
    <x:row r="511" spans="1:13" ht="22.050000000000001">
      <x:c r="A511" s="23" t="s">
        <x:v>367</x:v>
      </x:c>
      <x:c r="B511" s="23" t="s">
        <x:v>573</x:v>
      </x:c>
      <x:c r="C511" s="124"/>
      <x:c r="D511" s="124">
        <x:v>969</x:v>
      </x:c>
      <x:c r="E511" s="158">
        <x:v>50</x:v>
      </x:c>
      <x:c r="F511" s="23" t="s">
        <x:v>183</x:v>
      </x:c>
      <x:c r="G511" s="23" t="s">
        <x:v>617</x:v>
      </x:c>
      <x:c r="H511" s="142">
        <x:v>46247</x:v>
      </x:c>
      <x:c r="I511" s="124">
        <x:v>20</x:v>
      </x:c>
      <x:c r="J511" s="125"/>
      <x:c r="K511" s="25"/>
      <x:c r="L511" s="127"/>
      <x:c r="M511" s="127"/>
    </x:row>
    <x:row r="512" spans="1:13" ht="22.050000000000001">
      <x:c r="A512" s="20" t="s">
        <x:v>739</x:v>
      </x:c>
      <x:c r="B512" s="20" t="s">
        <x:v>1097</x:v>
      </x:c>
      <x:c r="C512" s="123"/>
      <x:c r="D512" s="123">
        <x:v>234</x:v>
      </x:c>
      <x:c r="E512" s="157">
        <x:v>30</x:v>
      </x:c>
      <x:c r="F512" s="21" t="s">
        <x:v>1058</x:v>
      </x:c>
      <x:c r="G512" s="20" t="s">
        <x:v>617</x:v>
      </x:c>
      <x:c r="H512" s="141">
        <x:v>46600</x:v>
      </x:c>
      <x:c r="I512" s="123">
        <x:v>17.190909090000002</x:v>
      </x:c>
      <x:c r="J512" s="127"/>
      <x:c r="K512" s="22"/>
      <x:c r="L512" s="127"/>
      <x:c r="M512" s="127"/>
    </x:row>
    <x:row r="513" spans="1:13" ht="22.050000000000001">
      <x:c r="A513" s="23" t="s">
        <x:v>749</x:v>
      </x:c>
      <x:c r="B513" s="23" t="s">
        <x:v>311</x:v>
      </x:c>
      <x:c r="C513" s="124"/>
      <x:c r="D513" s="124">
        <x:v>423</x:v>
      </x:c>
      <x:c r="E513" s="158">
        <x:v>7</x:v>
      </x:c>
      <x:c r="F513" s="23" t="s">
        <x:v>169</x:v>
      </x:c>
      <x:c r="G513" s="23" t="s">
        <x:v>617</x:v>
      </x:c>
      <x:c r="H513" s="142">
        <x:v>46696</x:v>
      </x:c>
      <x:c r="I513" s="124">
        <x:v>27.199999999999999</x:v>
      </x:c>
      <x:c r="J513" s="125"/>
      <x:c r="K513" s="25"/>
      <x:c r="L513" s="127"/>
      <x:c r="M513" s="127"/>
    </x:row>
    <x:row r="514" spans="1:13" ht="22.050000000000001">
      <x:c r="A514" s="20" t="s">
        <x:v>1068</x:v>
      </x:c>
      <x:c r="B514" s="20" t="s">
        <x:v>693</x:v>
      </x:c>
      <x:c r="C514" s="123"/>
      <x:c r="D514" s="123">
        <x:v>235</x:v>
      </x:c>
      <x:c r="E514" s="157">
        <x:v>20</x:v>
      </x:c>
      <x:c r="F514" s="20" t="s">
        <x:v>192</x:v>
      </x:c>
      <x:c r="G514" s="20" t="s">
        <x:v>617</x:v>
      </x:c>
      <x:c r="H514" s="141">
        <x:v>46695</x:v>
      </x:c>
      <x:c r="I514" s="123">
        <x:v>26.649999999999999</x:v>
      </x:c>
      <x:c r="J514" s="127"/>
      <x:c r="K514" s="36"/>
      <x:c r="L514" s="127"/>
      <x:c r="M514" s="127"/>
    </x:row>
    <x:row r="515" spans="1:13" ht="22.050000000000001">
      <x:c r="A515" s="23" t="s">
        <x:v>427</x:v>
      </x:c>
      <x:c r="B515" s="23" t="s">
        <x:v>1060</x:v>
      </x:c>
      <x:c r="C515" s="124" t="s">
        <x:v>668</x:v>
      </x:c>
      <x:c r="D515" s="124">
        <x:v>180</x:v>
      </x:c>
      <x:c r="E515" s="158">
        <x:v>45</x:v>
      </x:c>
      <x:c r="F515" s="23" t="s">
        <x:v>177</x:v>
      </x:c>
      <x:c r="G515" s="23" t="s">
        <x:v>617</x:v>
      </x:c>
      <x:c r="H515" s="142">
        <x:v>46600</x:v>
      </x:c>
      <x:c r="I515" s="124">
        <x:v>19.600000000000001</x:v>
      </x:c>
      <x:c r="J515" s="125"/>
      <x:c r="K515" s="25"/>
      <x:c r="L515" s="127"/>
      <x:c r="M515" s="127"/>
    </x:row>
    <x:row r="516" spans="1:13" ht="22.050000000000001">
      <x:c r="A516" s="22" t="s">
        <x:v>427</x:v>
      </x:c>
      <x:c r="B516" s="22" t="s">
        <x:v>1060</x:v>
      </x:c>
      <x:c r="C516" s="127" t="s">
        <x:v>668</x:v>
      </x:c>
      <x:c r="D516" s="127">
        <x:v>180</x:v>
      </x:c>
      <x:c r="E516" s="160">
        <x:v>25</x:v>
      </x:c>
      <x:c r="F516" s="22" t="s">
        <x:v>178</x:v>
      </x:c>
      <x:c r="G516" s="22" t="s">
        <x:v>706</x:v>
      </x:c>
      <x:c r="H516" s="144">
        <x:v>46702</x:v>
      </x:c>
      <x:c r="I516" s="127">
        <x:v>19.859999999999999</x:v>
      </x:c>
      <x:c r="J516" s="127"/>
      <x:c r="K516" s="22" t="s">
        <x:v>726</x:v>
      </x:c>
      <x:c r="L516" s="127"/>
      <x:c r="M516" s="127"/>
    </x:row>
    <x:row r="517" spans="1:13" ht="22.050000000000001">
      <x:c r="A517" s="31" t="s">
        <x:v>319</x:v>
      </x:c>
      <x:c r="B517" s="31" t="s">
        <x:v>362</x:v>
      </x:c>
      <x:c r="C517" s="124" t="s">
        <x:v>667</x:v>
      </x:c>
      <x:c r="D517" s="124">
        <x:v>640</x:v>
      </x:c>
      <x:c r="E517" s="158">
        <x:v>9</x:v>
      </x:c>
      <x:c r="F517" s="31" t="s">
        <x:v>153</x:v>
      </x:c>
      <x:c r="G517" s="31" t="s">
        <x:v>747</x:v>
      </x:c>
      <x:c r="H517" s="142">
        <x:v>46670</x:v>
      </x:c>
      <x:c r="I517" s="124">
        <x:v>23.440000000000001</x:v>
      </x:c>
      <x:c r="J517" s="125"/>
      <x:c r="K517" s="25"/>
      <x:c r="L517" s="127"/>
      <x:c r="M517" s="127"/>
    </x:row>
    <x:row r="518" spans="1:13" ht="22.050000000000001">
      <x:c r="A518" s="20" t="s">
        <x:v>319</x:v>
      </x:c>
      <x:c r="B518" s="20" t="s">
        <x:v>362</x:v>
      </x:c>
      <x:c r="C518" s="123" t="s">
        <x:v>667</x:v>
      </x:c>
      <x:c r="D518" s="123">
        <x:v>640</x:v>
      </x:c>
      <x:c r="E518" s="157">
        <x:v>13</x:v>
      </x:c>
      <x:c r="F518" s="20" t="s">
        <x:v>968</x:v>
      </x:c>
      <x:c r="G518" s="20" t="s">
        <x:v>747</x:v>
      </x:c>
      <x:c r="H518" s="141">
        <x:v>46721</x:v>
      </x:c>
      <x:c r="I518" s="123">
        <x:v>23.050000000000001</x:v>
      </x:c>
      <x:c r="J518" s="127"/>
      <x:c r="K518" s="22"/>
      <x:c r="L518" s="127"/>
      <x:c r="M518" s="127"/>
    </x:row>
    <x:row r="519" spans="1:13" ht="22.050000000000001">
      <x:c r="A519" s="23" t="s">
        <x:v>319</x:v>
      </x:c>
      <x:c r="B519" s="23" t="s">
        <x:v>362</x:v>
      </x:c>
      <x:c r="C519" s="124" t="s">
        <x:v>667</x:v>
      </x:c>
      <x:c r="D519" s="124">
        <x:v>640</x:v>
      </x:c>
      <x:c r="E519" s="158">
        <x:v>45</x:v>
      </x:c>
      <x:c r="F519" s="23" t="s">
        <x:v>199</x:v>
      </x:c>
      <x:c r="G519" s="23" t="s">
        <x:v>617</x:v>
      </x:c>
      <x:c r="H519" s="142">
        <x:v>46771</x:v>
      </x:c>
      <x:c r="I519" s="124">
        <x:v>23.84</x:v>
      </x:c>
      <x:c r="J519" s="125"/>
      <x:c r="K519" s="25"/>
      <x:c r="L519" s="127"/>
      <x:c r="M519" s="127"/>
    </x:row>
    <x:row r="520" spans="1:13" ht="22.050000000000001">
      <x:c r="A520" s="20" t="s">
        <x:v>319</x:v>
      </x:c>
      <x:c r="B520" s="20" t="s">
        <x:v>362</x:v>
      </x:c>
      <x:c r="C520" s="123" t="s">
        <x:v>667</x:v>
      </x:c>
      <x:c r="D520" s="123">
        <x:v>640</x:v>
      </x:c>
      <x:c r="E520" s="157">
        <x:v>88</x:v>
      </x:c>
      <x:c r="F520" s="20" t="s">
        <x:v>199</x:v>
      </x:c>
      <x:c r="G520" s="20" t="s">
        <x:v>290</x:v>
      </x:c>
      <x:c r="H520" s="141">
        <x:v>46771</x:v>
      </x:c>
      <x:c r="I520" s="123">
        <x:v>23.84</x:v>
      </x:c>
      <x:c r="J520" s="127"/>
      <x:c r="K520" s="22"/>
      <x:c r="L520" s="127"/>
      <x:c r="M520" s="127"/>
    </x:row>
    <x:row r="521" spans="1:13" ht="22.050000000000001">
      <x:c r="A521" s="23" t="s">
        <x:v>319</x:v>
      </x:c>
      <x:c r="B521" s="23" t="s">
        <x:v>362</x:v>
      </x:c>
      <x:c r="C521" s="124" t="s">
        <x:v>667</x:v>
      </x:c>
      <x:c r="D521" s="124">
        <x:v>640</x:v>
      </x:c>
      <x:c r="E521" s="158">
        <x:v>50</x:v>
      </x:c>
      <x:c r="F521" s="23" t="s">
        <x:v>186</x:v>
      </x:c>
      <x:c r="G521" s="23" t="s">
        <x:v>747</x:v>
      </x:c>
      <x:c r="H521" s="142">
        <x:v>46780</x:v>
      </x:c>
      <x:c r="I521" s="124">
        <x:v>23.710000000000001</x:v>
      </x:c>
      <x:c r="J521" s="125"/>
      <x:c r="K521" s="25"/>
      <x:c r="L521" s="127"/>
      <x:c r="M521" s="127"/>
    </x:row>
    <x:row r="522" spans="1:13" ht="22.050000000000001">
      <x:c r="A522" s="20" t="s">
        <x:v>319</x:v>
      </x:c>
      <x:c r="B522" s="30" t="s">
        <x:v>362</x:v>
      </x:c>
      <x:c r="C522" s="123" t="s">
        <x:v>667</x:v>
      </x:c>
      <x:c r="D522" s="123">
        <x:v>640</x:v>
      </x:c>
      <x:c r="E522" s="157">
        <x:v>172</x:v>
      </x:c>
      <x:c r="F522" s="20" t="s">
        <x:v>992</x:v>
      </x:c>
      <x:c r="G522" s="20" t="s">
        <x:v>290</x:v>
      </x:c>
      <x:c r="H522" s="141">
        <x:v>46816</x:v>
      </x:c>
      <x:c r="I522" s="123">
        <x:v>24.260000000000002</x:v>
      </x:c>
      <x:c r="J522" s="127"/>
      <x:c r="K522" s="22"/>
      <x:c r="L522" s="127"/>
      <x:c r="M522" s="127"/>
    </x:row>
    <x:row r="523" spans="1:13" ht="22.050000000000001">
      <x:c r="A523" s="23" t="s">
        <x:v>438</x:v>
      </x:c>
      <x:c r="B523" s="23" t="s">
        <x:v>634</x:v>
      </x:c>
      <x:c r="C523" s="124" t="s">
        <x:v>699</x:v>
      </x:c>
      <x:c r="D523" s="124"/>
      <x:c r="E523" s="158">
        <x:v>28</x:v>
      </x:c>
      <x:c r="F523" s="23" t="s">
        <x:v>797</x:v>
      </x:c>
      <x:c r="G523" s="23" t="s">
        <x:v>617</x:v>
      </x:c>
      <x:c r="H523" s="142">
        <x:v>46753</x:v>
      </x:c>
      <x:c r="I523" s="124">
        <x:v>15</x:v>
      </x:c>
      <x:c r="J523" s="125"/>
      <x:c r="K523" s="25"/>
      <x:c r="L523" s="127"/>
      <x:c r="M523" s="127"/>
    </x:row>
    <x:row r="524" spans="1:13" ht="22.050000000000001">
      <x:c r="A524" s="30" t="s">
        <x:v>438</x:v>
      </x:c>
      <x:c r="B524" s="30" t="s">
        <x:v>634</x:v>
      </x:c>
      <x:c r="C524" s="123" t="s">
        <x:v>699</x:v>
      </x:c>
      <x:c r="D524" s="123"/>
      <x:c r="E524" s="157">
        <x:v>20</x:v>
      </x:c>
      <x:c r="F524" s="30" t="s">
        <x:v>784</x:v>
      </x:c>
      <x:c r="G524" s="30" t="s">
        <x:v>617</x:v>
      </x:c>
      <x:c r="H524" s="141">
        <x:v>46784</x:v>
      </x:c>
      <x:c r="I524" s="123">
        <x:v>15</x:v>
      </x:c>
      <x:c r="J524" s="127"/>
      <x:c r="K524" s="37"/>
      <x:c r="L524" s="125"/>
      <x:c r="M524" s="125"/>
    </x:row>
    <x:row r="525" spans="1:13" ht="22.050000000000001">
      <x:c r="A525" s="25" t="s">
        <x:v>429</x:v>
      </x:c>
      <x:c r="B525" s="25" t="s">
        <x:v>311</x:v>
      </x:c>
      <x:c r="C525" s="125" t="s">
        <x:v>668</x:v>
      </x:c>
      <x:c r="D525" s="125">
        <x:v>294</x:v>
      </x:c>
      <x:c r="E525" s="159">
        <x:v>1</x:v>
      </x:c>
      <x:c r="F525" s="25" t="s">
        <x:v>165</x:v>
      </x:c>
      <x:c r="G525" s="25" t="s">
        <x:v>617</x:v>
      </x:c>
      <x:c r="H525" s="143">
        <x:v>46447</x:v>
      </x:c>
      <x:c r="I525" s="125">
        <x:v>21.07</x:v>
      </x:c>
      <x:c r="J525" s="125"/>
      <x:c r="K525" s="25" t="s">
        <x:v>774</x:v>
      </x:c>
      <x:c r="L525" s="127"/>
      <x:c r="M525" s="127"/>
    </x:row>
    <x:row r="526" spans="1:13" ht="22.050000000000001">
      <x:c r="A526" s="30" t="s">
        <x:v>443</x:v>
      </x:c>
      <x:c r="B526" s="30" t="s">
        <x:v>1037</x:v>
      </x:c>
      <x:c r="C526" s="123"/>
      <x:c r="D526" s="123">
        <x:v>717</x:v>
      </x:c>
      <x:c r="E526" s="157">
        <x:v>4</x:v>
      </x:c>
      <x:c r="F526" s="30" t="s">
        <x:v>1083</x:v>
      </x:c>
      <x:c r="G526" s="30" t="s">
        <x:v>617</x:v>
      </x:c>
      <x:c r="H526" s="141">
        <x:v>46600</x:v>
      </x:c>
      <x:c r="I526" s="123">
        <x:v>15.58</x:v>
      </x:c>
      <x:c r="J526" s="127"/>
      <x:c r="K526" s="37"/>
      <x:c r="L526" s="125"/>
      <x:c r="M526" s="125"/>
    </x:row>
    <x:row r="527" spans="1:13" ht="22.050000000000001">
      <x:c r="A527" s="31" t="s">
        <x:v>392</x:v>
      </x:c>
      <x:c r="B527" s="31" t="s">
        <x:v>573</x:v>
      </x:c>
      <x:c r="C527" s="124" t="s">
        <x:v>736</x:v>
      </x:c>
      <x:c r="D527" s="124">
        <x:v>969</x:v>
      </x:c>
      <x:c r="E527" s="158">
        <x:v>17</x:v>
      </x:c>
      <x:c r="F527" s="31">
        <x:v>20260407</x:v>
      </x:c>
      <x:c r="G527" s="23" t="s">
        <x:v>617</x:v>
      </x:c>
      <x:c r="H527" s="142">
        <x:v>46692</x:v>
      </x:c>
      <x:c r="I527" s="124">
        <x:v>20.619</x:v>
      </x:c>
      <x:c r="J527" s="125"/>
      <x:c r="K527" s="32"/>
      <x:c r="L527" s="125"/>
      <x:c r="M527" s="125"/>
    </x:row>
    <x:row r="528" spans="1:13" ht="22.050000000000001">
      <x:c r="A528" s="22" t="s">
        <x:v>446</x:v>
      </x:c>
      <x:c r="B528" s="22" t="s">
        <x:v>403</x:v>
      </x:c>
      <x:c r="C528" s="127" t="s">
        <x:v>676</x:v>
      </x:c>
      <x:c r="D528" s="127" t="s">
        <x:v>371</x:v>
      </x:c>
      <x:c r="E528" s="160">
        <x:v>0</x:v>
      </x:c>
      <x:c r="F528" s="22">
        <x:v>20260414</x:v>
      </x:c>
      <x:c r="G528" s="22" t="s">
        <x:v>617</x:v>
      </x:c>
      <x:c r="H528" s="144">
        <x:v>46722</x:v>
      </x:c>
      <x:c r="I528" s="127">
        <x:v>18.239999999999998</x:v>
      </x:c>
      <x:c r="J528" s="127"/>
      <x:c r="K528" s="22" t="s">
        <x:v>408</x:v>
      </x:c>
      <x:c r="L528" s="125"/>
      <x:c r="M528" s="125"/>
    </x:row>
    <x:row r="529" spans="1:13" ht="22.050000000000001">
      <x:c r="A529" s="25" t="s">
        <x:v>446</x:v>
      </x:c>
      <x:c r="B529" s="25" t="s">
        <x:v>403</x:v>
      </x:c>
      <x:c r="C529" s="125" t="s">
        <x:v>676</x:v>
      </x:c>
      <x:c r="D529" s="125" t="s">
        <x:v>371</x:v>
      </x:c>
      <x:c r="E529" s="159">
        <x:v>22</x:v>
      </x:c>
      <x:c r="F529" s="25">
        <x:v>20260421</x:v>
      </x:c>
      <x:c r="G529" s="25" t="s">
        <x:v>617</x:v>
      </x:c>
      <x:c r="H529" s="143">
        <x:v>46722</x:v>
      </x:c>
      <x:c r="I529" s="125">
        <x:v>18.879999999999999</x:v>
      </x:c>
      <x:c r="J529" s="125"/>
      <x:c r="K529" s="25" t="s">
        <x:v>408</x:v>
      </x:c>
      <x:c r="L529" s="127"/>
      <x:c r="M529" s="127"/>
    </x:row>
    <x:row r="530" spans="1:13" ht="22.050000000000001">
      <x:c r="A530" s="22" t="s">
        <x:v>446</x:v>
      </x:c>
      <x:c r="B530" s="22" t="s">
        <x:v>403</x:v>
      </x:c>
      <x:c r="C530" s="127" t="s">
        <x:v>676</x:v>
      </x:c>
      <x:c r="D530" s="127" t="s">
        <x:v>371</x:v>
      </x:c>
      <x:c r="E530" s="160">
        <x:v>6</x:v>
      </x:c>
      <x:c r="F530" s="22">
        <x:v>20260407</x:v>
      </x:c>
      <x:c r="G530" s="22" t="s">
        <x:v>617</x:v>
      </x:c>
      <x:c r="H530" s="144">
        <x:v>46753</x:v>
      </x:c>
      <x:c r="I530" s="127">
        <x:v>17.760000000000002</x:v>
      </x:c>
      <x:c r="J530" s="127"/>
      <x:c r="K530" s="22" t="s">
        <x:v>408</x:v>
      </x:c>
      <x:c r="L530" s="125"/>
      <x:c r="M530" s="125"/>
    </x:row>
    <x:row r="531" spans="1:13" ht="22.050000000000001">
      <x:c r="A531" s="25" t="s">
        <x:v>446</x:v>
      </x:c>
      <x:c r="B531" s="25" t="s">
        <x:v>362</x:v>
      </x:c>
      <x:c r="C531" s="125" t="s">
        <x:v>667</x:v>
      </x:c>
      <x:c r="D531" s="125">
        <x:v>640</x:v>
      </x:c>
      <x:c r="E531" s="159">
        <x:v>0</x:v>
      </x:c>
      <x:c r="F531" s="25">
        <x:v>20251204</x:v>
      </x:c>
      <x:c r="G531" s="25" t="s">
        <x:v>617</x:v>
      </x:c>
      <x:c r="H531" s="143">
        <x:v>46631</x:v>
      </x:c>
      <x:c r="I531" s="125">
        <x:v>25.100000000000001</x:v>
      </x:c>
      <x:c r="J531" s="125"/>
      <x:c r="K531" s="25" t="s">
        <x:v>1067</x:v>
      </x:c>
      <x:c r="L531" s="127"/>
      <x:c r="M531" s="127"/>
    </x:row>
    <x:row r="532" spans="1:13" ht="22.050000000000001">
      <x:c r="A532" s="22" t="s">
        <x:v>446</x:v>
      </x:c>
      <x:c r="B532" s="22" t="s">
        <x:v>362</x:v>
      </x:c>
      <x:c r="C532" s="127" t="s">
        <x:v>667</x:v>
      </x:c>
      <x:c r="D532" s="127">
        <x:v>640</x:v>
      </x:c>
      <x:c r="E532" s="160">
        <x:v>29</x:v>
      </x:c>
      <x:c r="F532" s="22">
        <x:v>20260326</x:v>
      </x:c>
      <x:c r="G532" s="22" t="s">
        <x:v>617</x:v>
      </x:c>
      <x:c r="H532" s="144">
        <x:v>46692</x:v>
      </x:c>
      <x:c r="I532" s="133">
        <x:v>24.5</x:v>
      </x:c>
      <x:c r="J532" s="127"/>
      <x:c r="K532" s="22" t="s">
        <x:v>389</x:v>
      </x:c>
      <x:c r="L532" s="127"/>
      <x:c r="M532" s="127"/>
    </x:row>
    <x:row r="533" spans="1:13" ht="22.050000000000001">
      <x:c r="A533" s="25" t="s">
        <x:v>446</x:v>
      </x:c>
      <x:c r="B533" s="25" t="s">
        <x:v>374</x:v>
      </x:c>
      <x:c r="C533" s="125" t="s">
        <x:v>676</x:v>
      </x:c>
      <x:c r="D533" s="125" t="s">
        <x:v>606</x:v>
      </x:c>
      <x:c r="E533" s="159">
        <x:v>0</x:v>
      </x:c>
      <x:c r="F533" s="25">
        <x:v>20260407</x:v>
      </x:c>
      <x:c r="G533" s="25" t="s">
        <x:v>617</x:v>
      </x:c>
      <x:c r="H533" s="143">
        <x:v>46539</x:v>
      </x:c>
      <x:c r="I533" s="125">
        <x:v>16.710000000000001</x:v>
      </x:c>
      <x:c r="J533" s="125"/>
      <x:c r="K533" s="25" t="s">
        <x:v>408</x:v>
      </x:c>
      <x:c r="L533" s="125"/>
      <x:c r="M533" s="125"/>
    </x:row>
    <x:row r="534" spans="1:13" ht="22.050000000000001">
      <x:c r="A534" s="22" t="s">
        <x:v>446</x:v>
      </x:c>
      <x:c r="B534" s="22" t="s">
        <x:v>374</x:v>
      </x:c>
      <x:c r="C534" s="127" t="s">
        <x:v>676</x:v>
      </x:c>
      <x:c r="D534" s="127" t="s">
        <x:v>606</x:v>
      </x:c>
      <x:c r="E534" s="160">
        <x:v>0</x:v>
      </x:c>
      <x:c r="F534" s="22">
        <x:v>20251215</x:v>
      </x:c>
      <x:c r="G534" s="22" t="s">
        <x:v>617</x:v>
      </x:c>
      <x:c r="H534" s="144">
        <x:v>46569</x:v>
      </x:c>
      <x:c r="I534" s="127">
        <x:v>16.23</x:v>
      </x:c>
      <x:c r="J534" s="127"/>
      <x:c r="K534" s="22" t="s">
        <x:v>408</x:v>
      </x:c>
      <x:c r="L534" s="127"/>
      <x:c r="M534" s="127"/>
    </x:row>
    <x:row r="535" spans="1:13" ht="22.050000000000001">
      <x:c r="A535" s="25" t="s">
        <x:v>446</x:v>
      </x:c>
      <x:c r="B535" s="25" t="s">
        <x:v>374</x:v>
      </x:c>
      <x:c r="C535" s="125" t="s">
        <x:v>676</x:v>
      </x:c>
      <x:c r="D535" s="125" t="s">
        <x:v>606</x:v>
      </x:c>
      <x:c r="E535" s="159">
        <x:v>13</x:v>
      </x:c>
      <x:c r="F535" s="25">
        <x:v>20260421</x:v>
      </x:c>
      <x:c r="G535" s="25" t="s">
        <x:v>617</x:v>
      </x:c>
      <x:c r="H535" s="143">
        <x:v>46631</x:v>
      </x:c>
      <x:c r="I535" s="125">
        <x:v>14.210000000000001</x:v>
      </x:c>
      <x:c r="J535" s="125"/>
      <x:c r="K535" s="25" t="s">
        <x:v>408</x:v>
      </x:c>
      <x:c r="L535" s="127"/>
      <x:c r="M535" s="127"/>
    </x:row>
    <x:row r="536" spans="1:13" ht="22.050000000000001">
      <x:c r="A536" s="22" t="s">
        <x:v>446</x:v>
      </x:c>
      <x:c r="B536" s="22" t="s">
        <x:v>374</x:v>
      </x:c>
      <x:c r="C536" s="127" t="s">
        <x:v>676</x:v>
      </x:c>
      <x:c r="D536" s="127" t="s">
        <x:v>606</x:v>
      </x:c>
      <x:c r="E536" s="160">
        <x:v>1</x:v>
      </x:c>
      <x:c r="F536" s="22">
        <x:v>20260309</x:v>
      </x:c>
      <x:c r="G536" s="22" t="s">
        <x:v>617</x:v>
      </x:c>
      <x:c r="H536" s="144">
        <x:v>46692</x:v>
      </x:c>
      <x:c r="I536" s="127">
        <x:v>16.350000000000001</x:v>
      </x:c>
      <x:c r="J536" s="127"/>
      <x:c r="K536" s="22" t="s">
        <x:v>408</x:v>
      </x:c>
      <x:c r="L536" s="127"/>
      <x:c r="M536" s="127"/>
    </x:row>
    <x:row r="537" spans="1:13" ht="22.050000000000001">
      <x:c r="A537" s="23" t="s">
        <x:v>364</x:v>
      </x:c>
      <x:c r="B537" s="23" t="s">
        <x:v>311</x:v>
      </x:c>
      <x:c r="C537" s="124" t="s">
        <x:v>692</x:v>
      </x:c>
      <x:c r="D537" s="124">
        <x:v>423</x:v>
      </x:c>
      <x:c r="E537" s="158">
        <x:v>12</x:v>
      </x:c>
      <x:c r="F537" s="23" t="s">
        <x:v>161</x:v>
      </x:c>
      <x:c r="G537" s="31" t="s">
        <x:v>617</x:v>
      </x:c>
      <x:c r="H537" s="142">
        <x:v>46631</x:v>
      </x:c>
      <x:c r="I537" s="124">
        <x:v>16.93</x:v>
      </x:c>
      <x:c r="J537" s="125"/>
      <x:c r="K537" s="25"/>
      <x:c r="L537" s="127"/>
      <x:c r="M537" s="127"/>
    </x:row>
    <x:row r="538" spans="1:13" ht="22.050000000000001">
      <x:c r="A538" s="22" t="s">
        <x:v>405</x:v>
      </x:c>
      <x:c r="B538" s="22" t="s">
        <x:v>572</x:v>
      </x:c>
      <x:c r="C538" s="127" t="s">
        <x:v>667</x:v>
      </x:c>
      <x:c r="D538" s="127">
        <x:v>558</x:v>
      </x:c>
      <x:c r="E538" s="160">
        <x:v>12</x:v>
      </x:c>
      <x:c r="F538" s="22" t="s">
        <x:v>1079</x:v>
      </x:c>
      <x:c r="G538" s="22" t="s">
        <x:v>617</x:v>
      </x:c>
      <x:c r="H538" s="144">
        <x:v>46692</x:v>
      </x:c>
      <x:c r="I538" s="133">
        <x:v>14.49</x:v>
      </x:c>
      <x:c r="J538" s="127"/>
      <x:c r="K538" s="22" t="s">
        <x:v>721</x:v>
      </x:c>
      <x:c r="L538" s="127"/>
      <x:c r="M538" s="127"/>
    </x:row>
    <x:row r="539" spans="1:13" ht="22.050000000000001">
      <x:c r="A539" s="23" t="s">
        <x:v>426</x:v>
      </x:c>
      <x:c r="B539" s="23" t="s">
        <x:v>634</x:v>
      </x:c>
      <x:c r="C539" s="124" t="s">
        <x:v>699</x:v>
      </x:c>
      <x:c r="D539" s="124"/>
      <x:c r="E539" s="158">
        <x:v>2</x:v>
      </x:c>
      <x:c r="F539" s="23">
        <x:v>20260326</x:v>
      </x:c>
      <x:c r="G539" s="31" t="s">
        <x:v>617</x:v>
      </x:c>
      <x:c r="H539" s="142">
        <x:v>46753</x:v>
      </x:c>
      <x:c r="I539" s="126">
        <x:v>10.76</x:v>
      </x:c>
      <x:c r="J539" s="125"/>
      <x:c r="K539" s="25"/>
      <x:c r="L539" s="127"/>
      <x:c r="M539" s="127"/>
    </x:row>
    <x:row r="540" spans="1:13" ht="22.050000000000001">
      <x:c r="A540" s="20" t="s">
        <x:v>555</x:v>
      </x:c>
      <x:c r="B540" s="20" t="s">
        <x:v>533</x:v>
      </x:c>
      <x:c r="C540" s="123" t="s">
        <x:v>636</x:v>
      </x:c>
      <x:c r="D540" s="123" t="s">
        <x:v>625</x:v>
      </x:c>
      <x:c r="E540" s="157">
        <x:v>11</x:v>
      </x:c>
      <x:c r="F540" s="20" t="s">
        <x:v>782</x:v>
      </x:c>
      <x:c r="G540" s="20" t="s">
        <x:v>617</x:v>
      </x:c>
      <x:c r="H540" s="141">
        <x:v>46407</x:v>
      </x:c>
      <x:c r="I540" s="123">
        <x:v>26.899999999999999</x:v>
      </x:c>
      <x:c r="J540" s="127"/>
      <x:c r="K540" s="22"/>
      <x:c r="L540" s="127"/>
      <x:c r="M540" s="127"/>
    </x:row>
    <x:row r="541" spans="1:13" ht="22.050000000000001">
      <x:c r="A541" s="23" t="s">
        <x:v>555</x:v>
      </x:c>
      <x:c r="B541" s="23" t="s">
        <x:v>533</x:v>
      </x:c>
      <x:c r="C541" s="124" t="s">
        <x:v>636</x:v>
      </x:c>
      <x:c r="D541" s="124" t="s">
        <x:v>670</x:v>
      </x:c>
      <x:c r="E541" s="158">
        <x:v>41</x:v>
      </x:c>
      <x:c r="F541" s="23" t="s">
        <x:v>203</x:v>
      </x:c>
      <x:c r="G541" s="23" t="s">
        <x:v>672</x:v>
      </x:c>
      <x:c r="H541" s="142">
        <x:v>46653</x:v>
      </x:c>
      <x:c r="I541" s="124">
        <x:v>28.260000000000002</x:v>
      </x:c>
      <x:c r="J541" s="125"/>
      <x:c r="K541" s="25"/>
      <x:c r="L541" s="127"/>
      <x:c r="M541" s="127"/>
    </x:row>
    <x:row r="542" spans="1:13" ht="22.050000000000001">
      <x:c r="A542" s="20" t="s">
        <x:v>535</x:v>
      </x:c>
      <x:c r="B542" s="20" t="s">
        <x:v>573</x:v>
      </x:c>
      <x:c r="C542" s="123" t="s">
        <x:v>636</x:v>
      </x:c>
      <x:c r="D542" s="123">
        <x:v>969</x:v>
      </x:c>
      <x:c r="E542" s="157">
        <x:v>22</x:v>
      </x:c>
      <x:c r="F542" s="20" t="s">
        <x:v>182</x:v>
      </x:c>
      <x:c r="G542" s="20" t="s">
        <x:v>309</x:v>
      </x:c>
      <x:c r="H542" s="141">
        <x:v>46570</x:v>
      </x:c>
      <x:c r="I542" s="123">
        <x:v>24.949999999999999</x:v>
      </x:c>
      <x:c r="J542" s="127"/>
      <x:c r="K542" s="22"/>
      <x:c r="L542" s="127"/>
      <x:c r="M542" s="127"/>
    </x:row>
    <x:row r="543" spans="1:13" ht="22.050000000000001">
      <x:c r="A543" s="25" t="s">
        <x:v>535</x:v>
      </x:c>
      <x:c r="B543" s="25" t="s">
        <x:v>573</x:v>
      </x:c>
      <x:c r="C543" s="125" t="s">
        <x:v>636</x:v>
      </x:c>
      <x:c r="D543" s="125">
        <x:v>969</x:v>
      </x:c>
      <x:c r="E543" s="159">
        <x:v>0</x:v>
      </x:c>
      <x:c r="F543" s="25" t="s">
        <x:v>816</x:v>
      </x:c>
      <x:c r="G543" s="25" t="s">
        <x:v>309</x:v>
      </x:c>
      <x:c r="H543" s="143">
        <x:v>46728</x:v>
      </x:c>
      <x:c r="I543" s="125">
        <x:v>25.57</x:v>
      </x:c>
      <x:c r="J543" s="125">
        <x:v>46135</x:v>
      </x:c>
      <x:c r="K543" s="25" t="s">
        <x:v>460</x:v>
      </x:c>
      <x:c r="L543" s="125"/>
      <x:c r="M543" s="125"/>
    </x:row>
    <x:row r="544" spans="1:13" ht="22.050000000000001">
      <x:c r="A544" s="30" t="s">
        <x:v>535</x:v>
      </x:c>
      <x:c r="B544" s="20" t="s">
        <x:v>573</x:v>
      </x:c>
      <x:c r="C544" s="123" t="s">
        <x:v>636</x:v>
      </x:c>
      <x:c r="D544" s="123">
        <x:v>969</x:v>
      </x:c>
      <x:c r="E544" s="157">
        <x:v>145</x:v>
      </x:c>
      <x:c r="F544" s="20" t="s">
        <x:v>816</x:v>
      </x:c>
      <x:c r="G544" s="20" t="s">
        <x:v>309</x:v>
      </x:c>
      <x:c r="H544" s="141">
        <x:v>46728</x:v>
      </x:c>
      <x:c r="I544" s="123">
        <x:v>25.57</x:v>
      </x:c>
      <x:c r="J544" s="127"/>
      <x:c r="K544" s="22"/>
      <x:c r="L544" s="127"/>
      <x:c r="M544" s="127"/>
    </x:row>
    <x:row r="545" spans="1:13" ht="22.050000000000001">
      <x:c r="A545" s="31" t="s">
        <x:v>535</x:v>
      </x:c>
      <x:c r="B545" s="23" t="s">
        <x:v>573</x:v>
      </x:c>
      <x:c r="C545" s="124" t="s">
        <x:v>636</x:v>
      </x:c>
      <x:c r="D545" s="124">
        <x:v>969</x:v>
      </x:c>
      <x:c r="E545" s="158">
        <x:v>153</x:v>
      </x:c>
      <x:c r="F545" s="23" t="s">
        <x:v>786</x:v>
      </x:c>
      <x:c r="G545" s="23" t="s">
        <x:v>617</x:v>
      </x:c>
      <x:c r="H545" s="142">
        <x:v>46781</x:v>
      </x:c>
      <x:c r="I545" s="124">
        <x:v>26.41</x:v>
      </x:c>
      <x:c r="J545" s="125"/>
      <x:c r="K545" s="47"/>
      <x:c r="L545" s="127"/>
      <x:c r="M545" s="127"/>
    </x:row>
    <x:row r="546" spans="1:13" ht="22.050000000000001">
      <x:c r="A546" s="30" t="s">
        <x:v>824</x:v>
      </x:c>
      <x:c r="B546" s="30" t="s">
        <x:v>573</x:v>
      </x:c>
      <x:c r="C546" s="123" t="s">
        <x:v>636</x:v>
      </x:c>
      <x:c r="D546" s="123" t="s">
        <x:v>540</x:v>
      </x:c>
      <x:c r="E546" s="157">
        <x:v>78</x:v>
      </x:c>
      <x:c r="F546" s="30" t="s">
        <x:v>844</x:v>
      </x:c>
      <x:c r="G546" s="30" t="s">
        <x:v>309</x:v>
      </x:c>
      <x:c r="H546" s="141">
        <x:v>46791</x:v>
      </x:c>
      <x:c r="I546" s="123">
        <x:v>29.050000000000001</x:v>
      </x:c>
      <x:c r="J546" s="127"/>
      <x:c r="K546" s="37"/>
      <x:c r="L546" s="125"/>
      <x:c r="M546" s="125"/>
    </x:row>
    <x:row r="547" spans="1:13" ht="22.050000000000001">
      <x:c r="A547" s="31" t="s">
        <x:v>824</x:v>
      </x:c>
      <x:c r="B547" s="31" t="s">
        <x:v>573</x:v>
      </x:c>
      <x:c r="C547" s="124" t="s">
        <x:v>636</x:v>
      </x:c>
      <x:c r="D547" s="124" t="s">
        <x:v>685</x:v>
      </x:c>
      <x:c r="E547" s="158">
        <x:v>88</x:v>
      </x:c>
      <x:c r="F547" s="31" t="s">
        <x:v>844</x:v>
      </x:c>
      <x:c r="G547" s="31" t="s">
        <x:v>309</x:v>
      </x:c>
      <x:c r="H547" s="142">
        <x:v>46793</x:v>
      </x:c>
      <x:c r="I547" s="124">
        <x:v>27.559999999999999</x:v>
      </x:c>
      <x:c r="J547" s="125"/>
      <x:c r="K547" s="32"/>
      <x:c r="L547" s="125"/>
      <x:c r="M547" s="125"/>
    </x:row>
    <x:row r="548" spans="1:13" ht="22.050000000000001">
      <x:c r="A548" s="20" t="s">
        <x:v>559</x:v>
      </x:c>
      <x:c r="B548" s="20" t="s">
        <x:v>533</x:v>
      </x:c>
      <x:c r="C548" s="123" t="s">
        <x:v>627</x:v>
      </x:c>
      <x:c r="D548" s="123" t="s">
        <x:v>618</x:v>
      </x:c>
      <x:c r="E548" s="157">
        <x:v>27</x:v>
      </x:c>
      <x:c r="F548" s="20" t="s">
        <x:v>826</x:v>
      </x:c>
      <x:c r="G548" s="20" t="s">
        <x:v>617</x:v>
      </x:c>
      <x:c r="H548" s="141">
        <x:v>46672</x:v>
      </x:c>
      <x:c r="I548" s="123">
        <x:v>25.02</x:v>
      </x:c>
      <x:c r="J548" s="123"/>
      <x:c r="K548" s="20"/>
      <x:c r="L548" s="123"/>
      <x:c r="M548" s="123"/>
    </x:row>
    <x:row r="549" spans="1:13" ht="22.050000000000001">
      <x:c r="A549" s="25" t="s">
        <x:v>559</x:v>
      </x:c>
      <x:c r="B549" s="25" t="s">
        <x:v>533</x:v>
      </x:c>
      <x:c r="C549" s="125" t="s">
        <x:v>627</x:v>
      </x:c>
      <x:c r="D549" s="125" t="s">
        <x:v>670</x:v>
      </x:c>
      <x:c r="E549" s="159">
        <x:v>0</x:v>
      </x:c>
      <x:c r="F549" s="25" t="s">
        <x:v>802</x:v>
      </x:c>
      <x:c r="G549" s="25" t="s">
        <x:v>309</x:v>
      </x:c>
      <x:c r="H549" s="143">
        <x:v>46680</x:v>
      </x:c>
      <x:c r="I549" s="125">
        <x:v>25.530000000000001</x:v>
      </x:c>
      <x:c r="J549" s="125">
        <x:v>46135</x:v>
      </x:c>
      <x:c r="K549" s="25" t="s">
        <x:v>384</x:v>
      </x:c>
      <x:c r="L549" s="125"/>
      <x:c r="M549" s="125"/>
    </x:row>
    <x:row r="550" spans="1:13" ht="22.050000000000001">
      <x:c r="A550" s="20" t="s">
        <x:v>559</x:v>
      </x:c>
      <x:c r="B550" s="20" t="s">
        <x:v>533</x:v>
      </x:c>
      <x:c r="C550" s="123" t="s">
        <x:v>627</x:v>
      </x:c>
      <x:c r="D550" s="123" t="s">
        <x:v>670</x:v>
      </x:c>
      <x:c r="E550" s="157">
        <x:v>154</x:v>
      </x:c>
      <x:c r="F550" s="20" t="s">
        <x:v>802</x:v>
      </x:c>
      <x:c r="G550" s="20" t="s">
        <x:v>309</x:v>
      </x:c>
      <x:c r="H550" s="141">
        <x:v>46680</x:v>
      </x:c>
      <x:c r="I550" s="123">
        <x:v>25.530000000000001</x:v>
      </x:c>
      <x:c r="J550" s="127"/>
      <x:c r="K550" s="22"/>
      <x:c r="L550" s="127"/>
      <x:c r="M550" s="127"/>
    </x:row>
    <x:row r="551" spans="1:13" ht="22.050000000000001">
      <x:c r="A551" s="25" t="s">
        <x:v>559</x:v>
      </x:c>
      <x:c r="B551" s="25" t="s">
        <x:v>533</x:v>
      </x:c>
      <x:c r="C551" s="125" t="s">
        <x:v>627</x:v>
      </x:c>
      <x:c r="D551" s="125" t="s">
        <x:v>670</x:v>
      </x:c>
      <x:c r="E551" s="159">
        <x:v>0</x:v>
      </x:c>
      <x:c r="F551" s="25" t="s">
        <x:v>166</x:v>
      </x:c>
      <x:c r="G551" s="25" t="s">
        <x:v>664</x:v>
      </x:c>
      <x:c r="H551" s="143">
        <x:v>46701</x:v>
      </x:c>
      <x:c r="I551" s="125">
        <x:v>25.399999999999999</x:v>
      </x:c>
      <x:c r="J551" s="125">
        <x:v>46135</x:v>
      </x:c>
      <x:c r="K551" s="25" t="s">
        <x:v>396</x:v>
      </x:c>
      <x:c r="L551" s="125"/>
      <x:c r="M551" s="125"/>
    </x:row>
    <x:row r="552" spans="1:13" ht="22.050000000000001">
      <x:c r="A552" s="20" t="s">
        <x:v>559</x:v>
      </x:c>
      <x:c r="B552" s="20" t="s">
        <x:v>533</x:v>
      </x:c>
      <x:c r="C552" s="123" t="s">
        <x:v>627</x:v>
      </x:c>
      <x:c r="D552" s="123" t="s">
        <x:v>670</x:v>
      </x:c>
      <x:c r="E552" s="157">
        <x:v>7</x:v>
      </x:c>
      <x:c r="F552" s="20" t="s">
        <x:v>166</x:v>
      </x:c>
      <x:c r="G552" s="20" t="s">
        <x:v>617</x:v>
      </x:c>
      <x:c r="H552" s="141">
        <x:v>46701</x:v>
      </x:c>
      <x:c r="I552" s="123">
        <x:v>25.399999999999999</x:v>
      </x:c>
      <x:c r="J552" s="123"/>
      <x:c r="K552" s="20"/>
      <x:c r="L552" s="123"/>
      <x:c r="M552" s="123"/>
    </x:row>
    <x:row r="553" spans="1:13" ht="22.050000000000001">
      <x:c r="A553" s="23" t="s">
        <x:v>559</x:v>
      </x:c>
      <x:c r="B553" s="23" t="s">
        <x:v>533</x:v>
      </x:c>
      <x:c r="C553" s="124" t="s">
        <x:v>627</x:v>
      </x:c>
      <x:c r="D553" s="124" t="s">
        <x:v>670</x:v>
      </x:c>
      <x:c r="E553" s="158">
        <x:v>23</x:v>
      </x:c>
      <x:c r="F553" s="23" t="s">
        <x:v>166</x:v>
      </x:c>
      <x:c r="G553" s="23" t="s">
        <x:v>664</x:v>
      </x:c>
      <x:c r="H553" s="142">
        <x:v>46701</x:v>
      </x:c>
      <x:c r="I553" s="124">
        <x:v>25.399999999999999</x:v>
      </x:c>
      <x:c r="J553" s="124"/>
      <x:c r="K553" s="23"/>
      <x:c r="L553" s="124"/>
      <x:c r="M553" s="124"/>
    </x:row>
    <x:row r="554" spans="1:13" ht="22.050000000000001">
      <x:c r="A554" s="20" t="s">
        <x:v>559</x:v>
      </x:c>
      <x:c r="B554" s="20" t="s">
        <x:v>533</x:v>
      </x:c>
      <x:c r="C554" s="123" t="s">
        <x:v>578</x:v>
      </x:c>
      <x:c r="D554" s="123" t="s">
        <x:v>670</x:v>
      </x:c>
      <x:c r="E554" s="157">
        <x:v>15</x:v>
      </x:c>
      <x:c r="F554" s="20" t="s">
        <x:v>138</x:v>
      </x:c>
      <x:c r="G554" s="20" t="s">
        <x:v>715</x:v>
      </x:c>
      <x:c r="H554" s="141">
        <x:v>46352</x:v>
      </x:c>
      <x:c r="I554" s="123">
        <x:v>22.780000000000001</x:v>
      </x:c>
      <x:c r="J554" s="123"/>
      <x:c r="K554" s="20"/>
      <x:c r="L554" s="123"/>
      <x:c r="M554" s="123"/>
    </x:row>
    <x:row r="555" spans="1:13" ht="22.050000000000001">
      <x:c r="A555" s="23" t="s">
        <x:v>559</x:v>
      </x:c>
      <x:c r="B555" s="23" t="s">
        <x:v>533</x:v>
      </x:c>
      <x:c r="C555" s="124" t="s">
        <x:v>578</x:v>
      </x:c>
      <x:c r="D555" s="124" t="s">
        <x:v>670</x:v>
      </x:c>
      <x:c r="E555" s="158">
        <x:v>28</x:v>
      </x:c>
      <x:c r="F555" s="23" t="s">
        <x:v>211</x:v>
      </x:c>
      <x:c r="G555" s="23" t="s">
        <x:v>694</x:v>
      </x:c>
      <x:c r="H555" s="142">
        <x:v>46364</x:v>
      </x:c>
      <x:c r="I555" s="124">
        <x:v>23</x:v>
      </x:c>
      <x:c r="J555" s="124"/>
      <x:c r="K555" s="23"/>
      <x:c r="L555" s="124"/>
      <x:c r="M555" s="124"/>
    </x:row>
    <x:row r="556" spans="1:13" ht="22.050000000000001">
      <x:c r="A556" s="20" t="s">
        <x:v>559</x:v>
      </x:c>
      <x:c r="B556" s="20" t="s">
        <x:v>533</x:v>
      </x:c>
      <x:c r="C556" s="123" t="s">
        <x:v>578</x:v>
      </x:c>
      <x:c r="D556" s="123" t="s">
        <x:v>670</x:v>
      </x:c>
      <x:c r="E556" s="157">
        <x:v>36</x:v>
      </x:c>
      <x:c r="F556" s="20" t="s">
        <x:v>842</x:v>
      </x:c>
      <x:c r="G556" s="20" t="s">
        <x:v>748</x:v>
      </x:c>
      <x:c r="H556" s="141">
        <x:v>46429</x:v>
      </x:c>
      <x:c r="I556" s="123">
        <x:v>23.329999999999998</x:v>
      </x:c>
      <x:c r="J556" s="123"/>
      <x:c r="K556" s="20"/>
      <x:c r="L556" s="123"/>
      <x:c r="M556" s="123"/>
    </x:row>
    <x:row r="557" spans="1:13" ht="22.050000000000001">
      <x:c r="A557" s="43" t="s">
        <x:v>559</x:v>
      </x:c>
      <x:c r="B557" s="43" t="s">
        <x:v>573</x:v>
      </x:c>
      <x:c r="C557" s="135" t="s">
        <x:v>627</x:v>
      </x:c>
      <x:c r="D557" s="135" t="s">
        <x:v>685</x:v>
      </x:c>
      <x:c r="E557" s="165">
        <x:v>22</x:v>
      </x:c>
      <x:c r="F557" s="43" t="s">
        <x:v>187</x:v>
      </x:c>
      <x:c r="G557" s="43" t="s">
        <x:v>747</x:v>
      </x:c>
      <x:c r="H557" s="149">
        <x:v>46535</x:v>
      </x:c>
      <x:c r="I557" s="135">
        <x:v>13.91</x:v>
      </x:c>
      <x:c r="J557" s="125"/>
      <x:c r="K557" s="25"/>
      <x:c r="L557" s="127"/>
      <x:c r="M557" s="127" t="b">
        <x:v>1</x:v>
      </x:c>
    </x:row>
    <x:row r="558" spans="1:13" ht="22.050000000000001">
      <x:c r="A558" s="42" t="s">
        <x:v>559</x:v>
      </x:c>
      <x:c r="B558" s="42" t="s">
        <x:v>573</x:v>
      </x:c>
      <x:c r="C558" s="134" t="s">
        <x:v>627</x:v>
      </x:c>
      <x:c r="D558" s="134">
        <x:v>969</x:v>
      </x:c>
      <x:c r="E558" s="164">
        <x:v>36</x:v>
      </x:c>
      <x:c r="F558" s="42" t="s">
        <x:v>187</x:v>
      </x:c>
      <x:c r="G558" s="42" t="s">
        <x:v>747</x:v>
      </x:c>
      <x:c r="H558" s="148">
        <x:v>46547</x:v>
      </x:c>
      <x:c r="I558" s="134">
        <x:v>22.66</x:v>
      </x:c>
      <x:c r="J558" s="127"/>
      <x:c r="K558" s="22"/>
      <x:c r="L558" s="127"/>
      <x:c r="M558" s="127" t="b">
        <x:v>1</x:v>
      </x:c>
    </x:row>
    <x:row r="559" spans="1:13" ht="22.050000000000001">
      <x:c r="A559" s="43" t="s">
        <x:v>559</x:v>
      </x:c>
      <x:c r="B559" s="43" t="s">
        <x:v>573</x:v>
      </x:c>
      <x:c r="C559" s="135" t="s">
        <x:v>627</x:v>
      </x:c>
      <x:c r="D559" s="135" t="s">
        <x:v>540</x:v>
      </x:c>
      <x:c r="E559" s="165">
        <x:v>0</x:v>
      </x:c>
      <x:c r="F559" s="43" t="s">
        <x:v>220</x:v>
      </x:c>
      <x:c r="G559" s="43" t="s">
        <x:v>617</x:v>
      </x:c>
      <x:c r="H559" s="149">
        <x:v>46616</x:v>
      </x:c>
      <x:c r="I559" s="135">
        <x:v>18.079999999999998</x:v>
      </x:c>
      <x:c r="J559" s="125"/>
      <x:c r="K559" s="25"/>
      <x:c r="L559" s="127"/>
      <x:c r="M559" s="127" t="b">
        <x:v>1</x:v>
      </x:c>
    </x:row>
    <x:row r="560" spans="1:13" ht="22.050000000000001">
      <x:c r="A560" s="42" t="s">
        <x:v>559</x:v>
      </x:c>
      <x:c r="B560" s="42" t="s">
        <x:v>573</x:v>
      </x:c>
      <x:c r="C560" s="134" t="s">
        <x:v>627</x:v>
      </x:c>
      <x:c r="D560" s="134" t="s">
        <x:v>540</x:v>
      </x:c>
      <x:c r="E560" s="164">
        <x:v>134</x:v>
      </x:c>
      <x:c r="F560" s="42" t="s">
        <x:v>220</x:v>
      </x:c>
      <x:c r="G560" s="42" t="s">
        <x:v>628</x:v>
      </x:c>
      <x:c r="H560" s="148">
        <x:v>46616</x:v>
      </x:c>
      <x:c r="I560" s="134">
        <x:v>18.079999999999998</x:v>
      </x:c>
      <x:c r="J560" s="127"/>
      <x:c r="K560" s="22"/>
      <x:c r="L560" s="127"/>
      <x:c r="M560" s="127" t="b">
        <x:v>1</x:v>
      </x:c>
    </x:row>
    <x:row r="561" spans="1:13" ht="22.050000000000001">
      <x:c r="A561" s="43" t="s">
        <x:v>559</x:v>
      </x:c>
      <x:c r="B561" s="43" t="s">
        <x:v>573</x:v>
      </x:c>
      <x:c r="C561" s="135" t="s">
        <x:v>627</x:v>
      </x:c>
      <x:c r="D561" s="135">
        <x:v>969</x:v>
      </x:c>
      <x:c r="E561" s="165">
        <x:v>98</x:v>
      </x:c>
      <x:c r="F561" s="43" t="s">
        <x:v>220</x:v>
      </x:c>
      <x:c r="G561" s="43" t="s">
        <x:v>628</x:v>
      </x:c>
      <x:c r="H561" s="149">
        <x:v>46647</x:v>
      </x:c>
      <x:c r="I561" s="135">
        <x:v>21.379999999999999</x:v>
      </x:c>
      <x:c r="J561" s="125"/>
      <x:c r="K561" s="25"/>
      <x:c r="L561" s="127"/>
      <x:c r="M561" s="127" t="b">
        <x:v>1</x:v>
      </x:c>
    </x:row>
    <x:row r="562" spans="1:13" ht="22.050000000000001">
      <x:c r="A562" s="42" t="s">
        <x:v>559</x:v>
      </x:c>
      <x:c r="B562" s="42" t="s">
        <x:v>573</x:v>
      </x:c>
      <x:c r="C562" s="134" t="s">
        <x:v>627</x:v>
      </x:c>
      <x:c r="D562" s="134">
        <x:v>969</x:v>
      </x:c>
      <x:c r="E562" s="164">
        <x:v>147</x:v>
      </x:c>
      <x:c r="F562" s="42" t="s">
        <x:v>220</x:v>
      </x:c>
      <x:c r="G562" s="42" t="s">
        <x:v>628</x:v>
      </x:c>
      <x:c r="H562" s="148">
        <x:v>46647</x:v>
      </x:c>
      <x:c r="I562" s="134">
        <x:v>21.379999999999999</x:v>
      </x:c>
      <x:c r="J562" s="127"/>
      <x:c r="K562" s="22"/>
      <x:c r="L562" s="127"/>
      <x:c r="M562" s="127" t="b">
        <x:v>1</x:v>
      </x:c>
    </x:row>
    <x:row r="563" spans="1:13" ht="22.050000000000001">
      <x:c r="A563" s="43" t="s">
        <x:v>559</x:v>
      </x:c>
      <x:c r="B563" s="43" t="s">
        <x:v>573</x:v>
      </x:c>
      <x:c r="C563" s="135" t="s">
        <x:v>627</x:v>
      </x:c>
      <x:c r="D563" s="135">
        <x:v>1311</x:v>
      </x:c>
      <x:c r="E563" s="165">
        <x:v>21</x:v>
      </x:c>
      <x:c r="F563" s="43" t="s">
        <x:v>170</x:v>
      </x:c>
      <x:c r="G563" s="43" t="s">
        <x:v>309</x:v>
      </x:c>
      <x:c r="H563" s="149">
        <x:v>46744</x:v>
      </x:c>
      <x:c r="I563" s="135">
        <x:v>22.559999999999999</x:v>
      </x:c>
      <x:c r="J563" s="125"/>
      <x:c r="K563" s="32"/>
      <x:c r="L563" s="125"/>
      <x:c r="M563" s="127" t="b">
        <x:v>1</x:v>
      </x:c>
    </x:row>
    <x:row r="564" spans="1:13" ht="22.050000000000001">
      <x:c r="A564" s="20" t="s">
        <x:v>559</x:v>
      </x:c>
      <x:c r="B564" s="20" t="s">
        <x:v>573</x:v>
      </x:c>
      <x:c r="C564" s="123" t="s">
        <x:v>616</x:v>
      </x:c>
      <x:c r="D564" s="123" t="s">
        <x:v>685</x:v>
      </x:c>
      <x:c r="E564" s="157">
        <x:v>48</x:v>
      </x:c>
      <x:c r="F564" s="20" t="s">
        <x:v>213</x:v>
      </x:c>
      <x:c r="G564" s="20" t="s">
        <x:v>617</x:v>
      </x:c>
      <x:c r="H564" s="141">
        <x:v>46600</x:v>
      </x:c>
      <x:c r="I564" s="123">
        <x:v>13.77</x:v>
      </x:c>
      <x:c r="J564" s="127"/>
      <x:c r="K564" s="22"/>
      <x:c r="L564" s="127"/>
      <x:c r="M564" s="127"/>
    </x:row>
    <x:row r="565" spans="1:13" ht="22.050000000000001">
      <x:c r="A565" s="43" t="s">
        <x:v>559</x:v>
      </x:c>
      <x:c r="B565" s="43" t="s">
        <x:v>573</x:v>
      </x:c>
      <x:c r="C565" s="135" t="s">
        <x:v>616</x:v>
      </x:c>
      <x:c r="D565" s="135" t="s">
        <x:v>685</x:v>
      </x:c>
      <x:c r="E565" s="165">
        <x:v>15</x:v>
      </x:c>
      <x:c r="F565" s="43" t="s">
        <x:v>156</x:v>
      </x:c>
      <x:c r="G565" s="43" t="s">
        <x:v>617</x:v>
      </x:c>
      <x:c r="H565" s="149">
        <x:v>46640</x:v>
      </x:c>
      <x:c r="I565" s="135">
        <x:v>14.34</x:v>
      </x:c>
      <x:c r="J565" s="125"/>
      <x:c r="K565" s="25"/>
      <x:c r="L565" s="127"/>
      <x:c r="M565" s="127" t="b">
        <x:v>1</x:v>
      </x:c>
    </x:row>
    <x:row r="566" spans="1:13" ht="22.050000000000001">
      <x:c r="A566" s="42" t="s">
        <x:v>559</x:v>
      </x:c>
      <x:c r="B566" s="42" t="s">
        <x:v>573</x:v>
      </x:c>
      <x:c r="C566" s="134" t="s">
        <x:v>616</x:v>
      </x:c>
      <x:c r="D566" s="134" t="s">
        <x:v>685</x:v>
      </x:c>
      <x:c r="E566" s="164">
        <x:v>36</x:v>
      </x:c>
      <x:c r="F566" s="42" t="s">
        <x:v>156</x:v>
      </x:c>
      <x:c r="G566" s="42" t="s">
        <x:v>722</x:v>
      </x:c>
      <x:c r="H566" s="148">
        <x:v>46640</x:v>
      </x:c>
      <x:c r="I566" s="134">
        <x:v>14.34</x:v>
      </x:c>
      <x:c r="J566" s="127"/>
      <x:c r="K566" s="22"/>
      <x:c r="L566" s="127"/>
      <x:c r="M566" s="127" t="b">
        <x:v>1</x:v>
      </x:c>
    </x:row>
    <x:row r="567" spans="1:13" ht="22.050000000000001">
      <x:c r="A567" s="43" t="s">
        <x:v>559</x:v>
      </x:c>
      <x:c r="B567" s="43" t="s">
        <x:v>573</x:v>
      </x:c>
      <x:c r="C567" s="135" t="s">
        <x:v>616</x:v>
      </x:c>
      <x:c r="D567" s="135">
        <x:v>969</x:v>
      </x:c>
      <x:c r="E567" s="165">
        <x:v>47</x:v>
      </x:c>
      <x:c r="F567" s="43" t="s">
        <x:v>156</x:v>
      </x:c>
      <x:c r="G567" s="43" t="s">
        <x:v>722</x:v>
      </x:c>
      <x:c r="H567" s="149">
        <x:v>46681</x:v>
      </x:c>
      <x:c r="I567" s="135">
        <x:v>19.48</x:v>
      </x:c>
      <x:c r="J567" s="125"/>
      <x:c r="K567" s="25"/>
      <x:c r="L567" s="127"/>
      <x:c r="M567" s="127" t="b">
        <x:v>1</x:v>
      </x:c>
    </x:row>
    <x:row r="568" spans="1:13" ht="22.050000000000001">
      <x:c r="A568" s="20" t="s">
        <x:v>559</x:v>
      </x:c>
      <x:c r="B568" s="20" t="s">
        <x:v>573</x:v>
      </x:c>
      <x:c r="C568" s="123" t="s">
        <x:v>636</x:v>
      </x:c>
      <x:c r="D568" s="123">
        <x:v>969</x:v>
      </x:c>
      <x:c r="E568" s="157">
        <x:v>30</x:v>
      </x:c>
      <x:c r="F568" s="20" t="s">
        <x:v>185</x:v>
      </x:c>
      <x:c r="G568" s="20" t="s">
        <x:v>674</x:v>
      </x:c>
      <x:c r="H568" s="141">
        <x:v>46687</x:v>
      </x:c>
      <x:c r="I568" s="123">
        <x:v>20.77</x:v>
      </x:c>
      <x:c r="J568" s="127"/>
      <x:c r="K568" s="22"/>
      <x:c r="L568" s="127"/>
      <x:c r="M568" s="127"/>
    </x:row>
    <x:row r="569" spans="1:13" ht="22.050000000000001">
      <x:c r="A569" s="25" t="s">
        <x:v>729</x:v>
      </x:c>
      <x:c r="B569" s="25" t="s">
        <x:v>1085</x:v>
      </x:c>
      <x:c r="C569" s="125" t="s">
        <x:v>711</x:v>
      </x:c>
      <x:c r="D569" s="125" t="s">
        <x:v>436</x:v>
      </x:c>
      <x:c r="E569" s="159">
        <x:v>17</x:v>
      </x:c>
      <x:c r="F569" s="25" t="s">
        <x:v>174</x:v>
      </x:c>
      <x:c r="G569" s="25" t="s">
        <x:v>617</x:v>
      </x:c>
      <x:c r="H569" s="143">
        <x:v>46478</x:v>
      </x:c>
      <x:c r="I569" s="125">
        <x:v>24.25588235</x:v>
      </x:c>
      <x:c r="J569" s="125"/>
      <x:c r="K569" s="25" t="s">
        <x:v>402</x:v>
      </x:c>
      <x:c r="L569" s="127"/>
      <x:c r="M569" s="127"/>
    </x:row>
    <x:row r="570" spans="1:13" ht="22.050000000000001">
      <x:c r="A570" s="20" t="s">
        <x:v>660</x:v>
      </x:c>
      <x:c r="B570" s="20" t="s">
        <x:v>533</x:v>
      </x:c>
      <x:c r="C570" s="123" t="s">
        <x:v>627</x:v>
      </x:c>
      <x:c r="D570" s="123" t="s">
        <x:v>635</x:v>
      </x:c>
      <x:c r="E570" s="157">
        <x:v>28</x:v>
      </x:c>
      <x:c r="F570" s="20" t="s">
        <x:v>158</x:v>
      </x:c>
      <x:c r="G570" s="20" t="s">
        <x:v>639</x:v>
      </x:c>
      <x:c r="H570" s="141">
        <x:v>46450</x:v>
      </x:c>
      <x:c r="I570" s="123">
        <x:v>26.91</x:v>
      </x:c>
      <x:c r="J570" s="127"/>
      <x:c r="K570" s="22"/>
      <x:c r="L570" s="127"/>
      <x:c r="M570" s="127"/>
    </x:row>
    <x:row r="571" spans="1:13" ht="22.050000000000001">
      <x:c r="A571" s="23" t="s">
        <x:v>660</x:v>
      </x:c>
      <x:c r="B571" s="23" t="s">
        <x:v>533</x:v>
      </x:c>
      <x:c r="C571" s="124" t="s">
        <x:v>627</x:v>
      </x:c>
      <x:c r="D571" s="124" t="s">
        <x:v>635</x:v>
      </x:c>
      <x:c r="E571" s="158">
        <x:v>50</x:v>
      </x:c>
      <x:c r="F571" s="23" t="s">
        <x:v>158</x:v>
      </x:c>
      <x:c r="G571" s="31" t="s">
        <x:v>617</x:v>
      </x:c>
      <x:c r="H571" s="142">
        <x:v>46450</x:v>
      </x:c>
      <x:c r="I571" s="124">
        <x:v>26.91</x:v>
      </x:c>
      <x:c r="J571" s="125"/>
      <x:c r="K571" s="25"/>
      <x:c r="L571" s="127"/>
      <x:c r="M571" s="127"/>
    </x:row>
    <x:row r="572" spans="1:13" ht="22.050000000000001">
      <x:c r="A572" s="20" t="s">
        <x:v>660</x:v>
      </x:c>
      <x:c r="B572" s="20" t="s">
        <x:v>533</x:v>
      </x:c>
      <x:c r="C572" s="123" t="s">
        <x:v>627</x:v>
      </x:c>
      <x:c r="D572" s="123" t="s">
        <x:v>635</x:v>
      </x:c>
      <x:c r="E572" s="157">
        <x:v>370</x:v>
      </x:c>
      <x:c r="F572" s="20" t="s">
        <x:v>158</x:v>
      </x:c>
      <x:c r="G572" s="20" t="s">
        <x:v>639</x:v>
      </x:c>
      <x:c r="H572" s="141">
        <x:v>46450</x:v>
      </x:c>
      <x:c r="I572" s="123">
        <x:v>26.91</x:v>
      </x:c>
      <x:c r="J572" s="123"/>
      <x:c r="K572" s="22"/>
      <x:c r="L572" s="123"/>
      <x:c r="M572" s="123"/>
    </x:row>
    <x:row r="573" spans="1:13" ht="22.050000000000001">
      <x:c r="A573" s="23" t="s">
        <x:v>660</x:v>
      </x:c>
      <x:c r="B573" s="23" t="s">
        <x:v>533</x:v>
      </x:c>
      <x:c r="C573" s="124" t="s">
        <x:v>627</x:v>
      </x:c>
      <x:c r="D573" s="124" t="s">
        <x:v>635</x:v>
      </x:c>
      <x:c r="E573" s="158">
        <x:v>200</x:v>
      </x:c>
      <x:c r="F573" s="23" t="s">
        <x:v>146</x:v>
      </x:c>
      <x:c r="G573" s="23" t="s">
        <x:v>666</x:v>
      </x:c>
      <x:c r="H573" s="142">
        <x:v>46675</x:v>
      </x:c>
      <x:c r="I573" s="124">
        <x:v>27.440000000000001</x:v>
      </x:c>
      <x:c r="J573" s="125"/>
      <x:c r="K573" s="25"/>
      <x:c r="L573" s="127"/>
      <x:c r="M573" s="127"/>
    </x:row>
    <x:row r="574" spans="1:13" ht="22.050000000000001">
      <x:c r="A574" s="22" t="s">
        <x:v>660</x:v>
      </x:c>
      <x:c r="B574" s="22" t="s">
        <x:v>533</x:v>
      </x:c>
      <x:c r="C574" s="127" t="s">
        <x:v>627</x:v>
      </x:c>
      <x:c r="D574" s="127" t="s">
        <x:v>670</x:v>
      </x:c>
      <x:c r="E574" s="160">
        <x:v>195</x:v>
      </x:c>
      <x:c r="F574" s="22" t="s">
        <x:v>191</x:v>
      </x:c>
      <x:c r="G574" s="22" t="s">
        <x:v>628</x:v>
      </x:c>
      <x:c r="H574" s="144">
        <x:v>46680</x:v>
      </x:c>
      <x:c r="I574" s="127">
        <x:v>24.899999999999999</x:v>
      </x:c>
      <x:c r="J574" s="127"/>
      <x:c r="K574" s="22" t="s">
        <x:v>397</x:v>
      </x:c>
      <x:c r="L574" s="127"/>
      <x:c r="M574" s="127"/>
    </x:row>
    <x:row r="575" spans="1:13" ht="22.050000000000001">
      <x:c r="A575" s="25" t="s">
        <x:v>660</x:v>
      </x:c>
      <x:c r="B575" s="25" t="s">
        <x:v>533</x:v>
      </x:c>
      <x:c r="C575" s="125" t="s">
        <x:v>627</x:v>
      </x:c>
      <x:c r="D575" s="125" t="s">
        <x:v>635</x:v>
      </x:c>
      <x:c r="E575" s="159">
        <x:v>201</x:v>
      </x:c>
      <x:c r="F575" s="25" t="s">
        <x:v>162</x:v>
      </x:c>
      <x:c r="G575" s="25" t="s">
        <x:v>628</x:v>
      </x:c>
      <x:c r="H575" s="143">
        <x:v>46696</x:v>
      </x:c>
      <x:c r="I575" s="125">
        <x:v>27.170000000000002</x:v>
      </x:c>
      <x:c r="J575" s="125"/>
      <x:c r="K575" s="25" t="s">
        <x:v>413</x:v>
      </x:c>
      <x:c r="L575" s="125"/>
      <x:c r="M575" s="125"/>
    </x:row>
    <x:row r="576" spans="1:13" ht="22.050000000000001">
      <x:c r="A576" s="22" t="s">
        <x:v>660</x:v>
      </x:c>
      <x:c r="B576" s="22" t="s">
        <x:v>533</x:v>
      </x:c>
      <x:c r="C576" s="127" t="s">
        <x:v>627</x:v>
      </x:c>
      <x:c r="D576" s="127" t="s">
        <x:v>670</x:v>
      </x:c>
      <x:c r="E576" s="160">
        <x:v>52</x:v>
      </x:c>
      <x:c r="F576" s="22" t="s">
        <x:v>834</x:v>
      </x:c>
      <x:c r="G576" s="22" t="s">
        <x:v>639</x:v>
      </x:c>
      <x:c r="H576" s="144">
        <x:v>46698</x:v>
      </x:c>
      <x:c r="I576" s="127">
        <x:v>26.120000000000001</x:v>
      </x:c>
      <x:c r="J576" s="127"/>
      <x:c r="K576" s="22" t="s">
        <x:v>397</x:v>
      </x:c>
      <x:c r="L576" s="127"/>
      <x:c r="M576" s="127"/>
    </x:row>
    <x:row r="577" spans="1:13" ht="22.050000000000001">
      <x:c r="A577" s="25" t="s">
        <x:v>660</x:v>
      </x:c>
      <x:c r="B577" s="25" t="s">
        <x:v>533</x:v>
      </x:c>
      <x:c r="C577" s="125" t="s">
        <x:v>627</x:v>
      </x:c>
      <x:c r="D577" s="125" t="s">
        <x:v>670</x:v>
      </x:c>
      <x:c r="E577" s="159">
        <x:v>86</x:v>
      </x:c>
      <x:c r="F577" s="25" t="s">
        <x:v>834</x:v>
      </x:c>
      <x:c r="G577" s="25" t="s">
        <x:v>639</x:v>
      </x:c>
      <x:c r="H577" s="143">
        <x:v>46698</x:v>
      </x:c>
      <x:c r="I577" s="125">
        <x:v>25.129999999999999</x:v>
      </x:c>
      <x:c r="J577" s="125"/>
      <x:c r="K577" s="25" t="s">
        <x:v>397</x:v>
      </x:c>
      <x:c r="L577" s="127"/>
      <x:c r="M577" s="127"/>
    </x:row>
    <x:row r="578" spans="1:13" ht="22.050000000000001">
      <x:c r="A578" s="20" t="s">
        <x:v>660</x:v>
      </x:c>
      <x:c r="B578" s="20" t="s">
        <x:v>533</x:v>
      </x:c>
      <x:c r="C578" s="123" t="s">
        <x:v>627</x:v>
      </x:c>
      <x:c r="D578" s="123" t="s">
        <x:v>618</x:v>
      </x:c>
      <x:c r="E578" s="157">
        <x:v>10</x:v>
      </x:c>
      <x:c r="F578" s="20" t="s">
        <x:v>144</x:v>
      </x:c>
      <x:c r="G578" s="20" t="s">
        <x:v>652</x:v>
      </x:c>
      <x:c r="H578" s="141">
        <x:v>46703</x:v>
      </x:c>
      <x:c r="I578" s="123">
        <x:v>25.059999999999999</x:v>
      </x:c>
      <x:c r="J578" s="127"/>
      <x:c r="K578" s="22"/>
      <x:c r="L578" s="127"/>
      <x:c r="M578" s="127"/>
    </x:row>
    <x:row r="579" spans="1:13" ht="22.050000000000001">
      <x:c r="A579" s="23" t="s">
        <x:v>660</x:v>
      </x:c>
      <x:c r="B579" s="23" t="s">
        <x:v>533</x:v>
      </x:c>
      <x:c r="C579" s="124" t="s">
        <x:v>627</x:v>
      </x:c>
      <x:c r="D579" s="124" t="s">
        <x:v>670</x:v>
      </x:c>
      <x:c r="E579" s="158">
        <x:v>45</x:v>
      </x:c>
      <x:c r="F579" s="23" t="s">
        <x:v>200</x:v>
      </x:c>
      <x:c r="G579" s="31" t="s">
        <x:v>617</x:v>
      </x:c>
      <x:c r="H579" s="142">
        <x:v>46766</x:v>
      </x:c>
      <x:c r="I579" s="126">
        <x:v>25.530000000000001</x:v>
      </x:c>
      <x:c r="J579" s="125"/>
      <x:c r="K579" s="25"/>
      <x:c r="L579" s="127"/>
      <x:c r="M579" s="127"/>
    </x:row>
    <x:row r="580" spans="1:13" ht="22.050000000000001">
      <x:c r="A580" s="20" t="s">
        <x:v>660</x:v>
      </x:c>
      <x:c r="B580" s="20" t="s">
        <x:v>533</x:v>
      </x:c>
      <x:c r="C580" s="123" t="s">
        <x:v>627</x:v>
      </x:c>
      <x:c r="D580" s="123" t="s">
        <x:v>618</x:v>
      </x:c>
      <x:c r="E580" s="157">
        <x:v>15</x:v>
      </x:c>
      <x:c r="F580" s="20" t="s">
        <x:v>243</x:v>
      </x:c>
      <x:c r="G580" s="20" t="s">
        <x:v>617</x:v>
      </x:c>
      <x:c r="H580" s="141">
        <x:v>46773</x:v>
      </x:c>
      <x:c r="I580" s="123">
        <x:v>23.5</x:v>
      </x:c>
      <x:c r="J580" s="127"/>
      <x:c r="K580" s="22"/>
      <x:c r="L580" s="127"/>
      <x:c r="M580" s="127"/>
    </x:row>
    <x:row r="581" spans="1:13" ht="22.050000000000001">
      <x:c r="A581" s="23" t="s">
        <x:v>660</x:v>
      </x:c>
      <x:c r="B581" s="23" t="s">
        <x:v>533</x:v>
      </x:c>
      <x:c r="C581" s="124" t="s">
        <x:v>627</x:v>
      </x:c>
      <x:c r="D581" s="124" t="s">
        <x:v>618</x:v>
      </x:c>
      <x:c r="E581" s="158">
        <x:v>20</x:v>
      </x:c>
      <x:c r="F581" s="23" t="s">
        <x:v>243</x:v>
      </x:c>
      <x:c r="G581" s="23" t="s">
        <x:v>639</x:v>
      </x:c>
      <x:c r="H581" s="142">
        <x:v>46773</x:v>
      </x:c>
      <x:c r="I581" s="124">
        <x:v>23.5</x:v>
      </x:c>
      <x:c r="J581" s="125"/>
      <x:c r="K581" s="25"/>
      <x:c r="L581" s="127"/>
      <x:c r="M581" s="127"/>
    </x:row>
    <x:row r="582" spans="1:13" ht="22.050000000000001">
      <x:c r="A582" s="20" t="s">
        <x:v>660</x:v>
      </x:c>
      <x:c r="B582" s="20" t="s">
        <x:v>533</x:v>
      </x:c>
      <x:c r="C582" s="123" t="s">
        <x:v>627</x:v>
      </x:c>
      <x:c r="D582" s="123" t="s">
        <x:v>618</x:v>
      </x:c>
      <x:c r="E582" s="157">
        <x:v>30</x:v>
      </x:c>
      <x:c r="F582" s="20" t="s">
        <x:v>243</x:v>
      </x:c>
      <x:c r="G582" s="20" t="s">
        <x:v>617</x:v>
      </x:c>
      <x:c r="H582" s="141">
        <x:v>46773</x:v>
      </x:c>
      <x:c r="I582" s="123">
        <x:v>23.5</x:v>
      </x:c>
      <x:c r="J582" s="127"/>
      <x:c r="K582" s="22"/>
      <x:c r="L582" s="127"/>
      <x:c r="M582" s="127"/>
    </x:row>
    <x:row r="583" spans="1:13" ht="22.050000000000001">
      <x:c r="A583" s="31" t="s">
        <x:v>660</x:v>
      </x:c>
      <x:c r="B583" s="31" t="s">
        <x:v>533</x:v>
      </x:c>
      <x:c r="C583" s="124" t="s">
        <x:v>627</x:v>
      </x:c>
      <x:c r="D583" s="124" t="s">
        <x:v>625</x:v>
      </x:c>
      <x:c r="E583" s="158">
        <x:v>84</x:v>
      </x:c>
      <x:c r="F583" s="31" t="s">
        <x:v>794</x:v>
      </x:c>
      <x:c r="G583" s="31" t="s">
        <x:v>309</x:v>
      </x:c>
      <x:c r="H583" s="142">
        <x:v>46773</x:v>
      </x:c>
      <x:c r="I583" s="124">
        <x:v>25.859999999999999</x:v>
      </x:c>
      <x:c r="J583" s="125"/>
      <x:c r="K583" s="25"/>
      <x:c r="L583" s="127"/>
      <x:c r="M583" s="127"/>
    </x:row>
    <x:row r="584" spans="1:13" ht="22.050000000000001">
      <x:c r="A584" s="20" t="s">
        <x:v>660</x:v>
      </x:c>
      <x:c r="B584" s="20" t="s">
        <x:v>533</x:v>
      </x:c>
      <x:c r="C584" s="123" t="s">
        <x:v>627</x:v>
      </x:c>
      <x:c r="D584" s="123" t="s">
        <x:v>670</x:v>
      </x:c>
      <x:c r="E584" s="157">
        <x:v>178</x:v>
      </x:c>
      <x:c r="F584" s="20" t="s">
        <x:v>134</x:v>
      </x:c>
      <x:c r="G584" s="20" t="s">
        <x:v>677</x:v>
      </x:c>
      <x:c r="H584" s="141">
        <x:v>46802</x:v>
      </x:c>
      <x:c r="I584" s="123">
        <x:v>27.140000000000001</x:v>
      </x:c>
      <x:c r="J584" s="127"/>
      <x:c r="K584" s="36"/>
      <x:c r="L584" s="127"/>
      <x:c r="M584" s="127"/>
    </x:row>
    <x:row r="585" spans="1:13" ht="22.050000000000001">
      <x:c r="A585" s="23" t="s">
        <x:v>660</x:v>
      </x:c>
      <x:c r="B585" s="23" t="s">
        <x:v>678</x:v>
      </x:c>
      <x:c r="C585" s="124" t="s">
        <x:v>631</x:v>
      </x:c>
      <x:c r="D585" s="124" t="s">
        <x:v>615</x:v>
      </x:c>
      <x:c r="E585" s="158">
        <x:v>54</x:v>
      </x:c>
      <x:c r="F585" s="23" t="s">
        <x:v>189</x:v>
      </x:c>
      <x:c r="G585" s="23" t="s">
        <x:v>304</x:v>
      </x:c>
      <x:c r="H585" s="142">
        <x:v>46612</x:v>
      </x:c>
      <x:c r="I585" s="124">
        <x:v>26.789999999999999</x:v>
      </x:c>
      <x:c r="J585" s="125"/>
      <x:c r="K585" s="25"/>
      <x:c r="L585" s="127"/>
      <x:c r="M585" s="127"/>
    </x:row>
    <x:row r="586" spans="1:13" ht="22.050000000000001">
      <x:c r="A586" s="30" t="s">
        <x:v>660</x:v>
      </x:c>
      <x:c r="B586" s="30" t="s">
        <x:v>678</x:v>
      </x:c>
      <x:c r="C586" s="123" t="s">
        <x:v>627</x:v>
      </x:c>
      <x:c r="D586" s="123" t="s">
        <x:v>615</x:v>
      </x:c>
      <x:c r="E586" s="157">
        <x:v>57</x:v>
      </x:c>
      <x:c r="F586" s="30" t="s">
        <x:v>1093</x:v>
      </x:c>
      <x:c r="G586" s="30" t="s">
        <x:v>579</x:v>
      </x:c>
      <x:c r="H586" s="141">
        <x:v>46617</x:v>
      </x:c>
      <x:c r="I586" s="123">
        <x:v>27.190000000000001</x:v>
      </x:c>
      <x:c r="J586" s="127"/>
      <x:c r="K586" s="22"/>
      <x:c r="L586" s="125"/>
      <x:c r="M586" s="125"/>
    </x:row>
    <x:row r="587" spans="1:13" ht="22.050000000000001">
      <x:c r="A587" s="23" t="s">
        <x:v>356</x:v>
      </x:c>
      <x:c r="B587" s="23" t="s">
        <x:v>357</x:v>
      </x:c>
      <x:c r="C587" s="124" t="s">
        <x:v>667</x:v>
      </x:c>
      <x:c r="D587" s="124">
        <x:v>239</x:v>
      </x:c>
      <x:c r="E587" s="158">
        <x:v>8</x:v>
      </x:c>
      <x:c r="F587" s="23" t="s">
        <x:v>1073</x:v>
      </x:c>
      <x:c r="G587" s="23" t="s">
        <x:v>617</x:v>
      </x:c>
      <x:c r="H587" s="142">
        <x:v>46174</x:v>
      </x:c>
      <x:c r="I587" s="124">
        <x:v>24.170000000000002</x:v>
      </x:c>
      <x:c r="J587" s="125"/>
      <x:c r="K587" s="48"/>
      <x:c r="L587" s="127"/>
      <x:c r="M587" s="127"/>
    </x:row>
    <x:row r="588" spans="1:13" ht="22.050000000000001">
      <x:c r="A588" s="22" t="s">
        <x:v>682</x:v>
      </x:c>
      <x:c r="B588" s="22" t="s">
        <x:v>693</x:v>
      </x:c>
      <x:c r="C588" s="127" t="s">
        <x:v>692</x:v>
      </x:c>
      <x:c r="D588" s="127">
        <x:v>235</x:v>
      </x:c>
      <x:c r="E588" s="160">
        <x:v>38</x:v>
      </x:c>
      <x:c r="F588" s="22" t="s">
        <x:v>201</x:v>
      </x:c>
      <x:c r="G588" s="22" t="s">
        <x:v>617</x:v>
      </x:c>
      <x:c r="H588" s="144">
        <x:v>46570</x:v>
      </x:c>
      <x:c r="I588" s="127">
        <x:v>21.699999999999999</x:v>
      </x:c>
      <x:c r="J588" s="127"/>
      <x:c r="K588" s="22" t="s">
        <x:v>743</x:v>
      </x:c>
      <x:c r="L588" s="127"/>
      <x:c r="M588" s="127"/>
    </x:row>
    <x:row r="589" spans="1:13" ht="22.050000000000001">
      <x:c r="A589" s="25" t="s">
        <x:v>682</x:v>
      </x:c>
      <x:c r="B589" s="25" t="s">
        <x:v>693</x:v>
      </x:c>
      <x:c r="C589" s="125" t="s">
        <x:v>692</x:v>
      </x:c>
      <x:c r="D589" s="125">
        <x:v>235</x:v>
      </x:c>
      <x:c r="E589" s="159">
        <x:v>38</x:v>
      </x:c>
      <x:c r="F589" s="25" t="s">
        <x:v>261</x:v>
      </x:c>
      <x:c r="G589" s="25" t="s">
        <x:v>747</x:v>
      </x:c>
      <x:c r="H589" s="143">
        <x:v>46660</x:v>
      </x:c>
      <x:c r="I589" s="125">
        <x:v>21.949999999999999</x:v>
      </x:c>
      <x:c r="J589" s="125"/>
      <x:c r="K589" s="25" t="s">
        <x:v>394</x:v>
      </x:c>
      <x:c r="L589" s="127"/>
      <x:c r="M589" s="127"/>
    </x:row>
    <x:row r="590" spans="1:13" ht="22.050000000000001">
      <x:c r="A590" s="20" t="s">
        <x:v>682</x:v>
      </x:c>
      <x:c r="B590" s="20" t="s">
        <x:v>693</x:v>
      </x:c>
      <x:c r="C590" s="123" t="s">
        <x:v>692</x:v>
      </x:c>
      <x:c r="D590" s="123">
        <x:v>384</x:v>
      </x:c>
      <x:c r="E590" s="157">
        <x:v>6</x:v>
      </x:c>
      <x:c r="F590" s="20" t="s">
        <x:v>261</x:v>
      </x:c>
      <x:c r="G590" s="20" t="s">
        <x:v>747</x:v>
      </x:c>
      <x:c r="H590" s="141">
        <x:v>46674</x:v>
      </x:c>
      <x:c r="I590" s="123">
        <x:v>21.030000000000001</x:v>
      </x:c>
      <x:c r="J590" s="127"/>
      <x:c r="K590" s="22"/>
      <x:c r="L590" s="127"/>
      <x:c r="M590" s="127"/>
    </x:row>
    <x:row r="591" spans="1:13" ht="22.050000000000001">
      <x:c r="A591" s="23" t="s">
        <x:v>682</x:v>
      </x:c>
      <x:c r="B591" s="23" t="s">
        <x:v>533</x:v>
      </x:c>
      <x:c r="C591" s="124" t="s">
        <x:v>627</x:v>
      </x:c>
      <x:c r="D591" s="124" t="s">
        <x:v>670</x:v>
      </x:c>
      <x:c r="E591" s="158">
        <x:v>10</x:v>
      </x:c>
      <x:c r="F591" s="23" t="s">
        <x:v>217</x:v>
      </x:c>
      <x:c r="G591" s="23" t="s">
        <x:v>748</x:v>
      </x:c>
      <x:c r="H591" s="142">
        <x:v>46663</x:v>
      </x:c>
      <x:c r="I591" s="124">
        <x:v>30.010000000000002</x:v>
      </x:c>
      <x:c r="J591" s="125"/>
      <x:c r="K591" s="25"/>
      <x:c r="L591" s="127"/>
      <x:c r="M591" s="127"/>
    </x:row>
    <x:row r="592" spans="1:13" ht="22.050000000000001">
      <x:c r="A592" s="20" t="s">
        <x:v>682</x:v>
      </x:c>
      <x:c r="B592" s="20" t="s">
        <x:v>533</x:v>
      </x:c>
      <x:c r="C592" s="123" t="s">
        <x:v>616</x:v>
      </x:c>
      <x:c r="D592" s="123" t="s">
        <x:v>635</x:v>
      </x:c>
      <x:c r="E592" s="157">
        <x:v>41</x:v>
      </x:c>
      <x:c r="F592" s="20" t="s">
        <x:v>841</x:v>
      </x:c>
      <x:c r="G592" s="20" t="s">
        <x:v>617</x:v>
      </x:c>
      <x:c r="H592" s="141">
        <x:v>46562</x:v>
      </x:c>
      <x:c r="I592" s="123">
        <x:v>31.850000000000001</x:v>
      </x:c>
      <x:c r="J592" s="127"/>
      <x:c r="K592" s="22"/>
      <x:c r="L592" s="127"/>
      <x:c r="M592" s="127"/>
    </x:row>
    <x:row r="593" spans="1:13" ht="22.050000000000001">
      <x:c r="A593" s="23" t="s">
        <x:v>682</x:v>
      </x:c>
      <x:c r="B593" s="23" t="s">
        <x:v>533</x:v>
      </x:c>
      <x:c r="C593" s="124" t="s">
        <x:v>616</x:v>
      </x:c>
      <x:c r="D593" s="124" t="s">
        <x:v>635</x:v>
      </x:c>
      <x:c r="E593" s="158">
        <x:v>63</x:v>
      </x:c>
      <x:c r="F593" s="23" t="s">
        <x:v>208</x:v>
      </x:c>
      <x:c r="G593" s="23" t="s">
        <x:v>621</x:v>
      </x:c>
      <x:c r="H593" s="142">
        <x:v>46589</x:v>
      </x:c>
      <x:c r="I593" s="124">
        <x:v>31.550000000000001</x:v>
      </x:c>
      <x:c r="J593" s="125"/>
      <x:c r="K593" s="25"/>
      <x:c r="L593" s="127"/>
      <x:c r="M593" s="127"/>
    </x:row>
    <x:row r="594" spans="1:13" ht="22.050000000000001">
      <x:c r="A594" s="20" t="s">
        <x:v>682</x:v>
      </x:c>
      <x:c r="B594" s="20" t="s">
        <x:v>533</x:v>
      </x:c>
      <x:c r="C594" s="123" t="s">
        <x:v>616</x:v>
      </x:c>
      <x:c r="D594" s="123" t="s">
        <x:v>635</x:v>
      </x:c>
      <x:c r="E594" s="157">
        <x:v>70</x:v>
      </x:c>
      <x:c r="F594" s="20" t="s">
        <x:v>825</x:v>
      </x:c>
      <x:c r="G594" s="20" t="s">
        <x:v>620</x:v>
      </x:c>
      <x:c r="H594" s="141">
        <x:v>46602</x:v>
      </x:c>
      <x:c r="I594" s="123">
        <x:v>31.859999999999999</x:v>
      </x:c>
      <x:c r="J594" s="127"/>
      <x:c r="K594" s="22"/>
      <x:c r="L594" s="127"/>
      <x:c r="M594" s="127"/>
    </x:row>
    <x:row r="595" spans="1:13" ht="22.050000000000001">
      <x:c r="A595" s="23" t="s">
        <x:v>682</x:v>
      </x:c>
      <x:c r="B595" s="23" t="s">
        <x:v>533</x:v>
      </x:c>
      <x:c r="C595" s="124" t="s">
        <x:v>616</x:v>
      </x:c>
      <x:c r="D595" s="124" t="s">
        <x:v>635</x:v>
      </x:c>
      <x:c r="E595" s="158">
        <x:v>138</x:v>
      </x:c>
      <x:c r="F595" s="23" t="s">
        <x:v>814</x:v>
      </x:c>
      <x:c r="G595" s="23" t="s">
        <x:v>309</x:v>
      </x:c>
      <x:c r="H595" s="142">
        <x:v>46693</x:v>
      </x:c>
      <x:c r="I595" s="124">
        <x:v>30.41</x:v>
      </x:c>
      <x:c r="J595" s="125"/>
      <x:c r="K595" s="25"/>
      <x:c r="L595" s="127"/>
      <x:c r="M595" s="127"/>
    </x:row>
    <x:row r="596" spans="1:13" ht="22.050000000000001">
      <x:c r="A596" s="22" t="s">
        <x:v>682</x:v>
      </x:c>
      <x:c r="B596" s="22" t="s">
        <x:v>533</x:v>
      </x:c>
      <x:c r="C596" s="127" t="s">
        <x:v>616</x:v>
      </x:c>
      <x:c r="D596" s="127" t="s">
        <x:v>635</x:v>
      </x:c>
      <x:c r="E596" s="160">
        <x:v>1</x:v>
      </x:c>
      <x:c r="F596" s="22" t="s">
        <x:v>814</x:v>
      </x:c>
      <x:c r="G596" s="22" t="s">
        <x:v>309</x:v>
      </x:c>
      <x:c r="H596" s="144">
        <x:v>46693</x:v>
      </x:c>
      <x:c r="I596" s="127">
        <x:v>30.41</x:v>
      </x:c>
      <x:c r="J596" s="127">
        <x:v>46136</x:v>
      </x:c>
      <x:c r="K596" s="22" t="s">
        <x:v>430</x:v>
      </x:c>
      <x:c r="L596" s="125"/>
      <x:c r="M596" s="125"/>
    </x:row>
    <x:row r="597" spans="1:13" ht="22.050000000000001">
      <x:c r="A597" s="23" t="s">
        <x:v>682</x:v>
      </x:c>
      <x:c r="B597" s="23" t="s">
        <x:v>533</x:v>
      </x:c>
      <x:c r="C597" s="124" t="s">
        <x:v>616</x:v>
      </x:c>
      <x:c r="D597" s="124" t="s">
        <x:v>618</x:v>
      </x:c>
      <x:c r="E597" s="158">
        <x:v>161</x:v>
      </x:c>
      <x:c r="F597" s="23" t="s">
        <x:v>251</x:v>
      </x:c>
      <x:c r="G597" s="23" t="s">
        <x:v>309</x:v>
      </x:c>
      <x:c r="H597" s="142">
        <x:v>46798</x:v>
      </x:c>
      <x:c r="I597" s="124">
        <x:v>29.420000000000002</x:v>
      </x:c>
      <x:c r="J597" s="125"/>
      <x:c r="K597" s="25"/>
      <x:c r="L597" s="127"/>
      <x:c r="M597" s="127"/>
    </x:row>
    <x:row r="598" spans="1:13" ht="22.050000000000001">
      <x:c r="A598" s="20" t="s">
        <x:v>682</x:v>
      </x:c>
      <x:c r="B598" s="20" t="s">
        <x:v>533</x:v>
      </x:c>
      <x:c r="C598" s="123" t="s">
        <x:v>578</x:v>
      </x:c>
      <x:c r="D598" s="123" t="s">
        <x:v>670</x:v>
      </x:c>
      <x:c r="E598" s="157">
        <x:v>85</x:v>
      </x:c>
      <x:c r="F598" s="20" t="s">
        <x:v>218</x:v>
      </x:c>
      <x:c r="G598" s="20" t="s">
        <x:v>617</x:v>
      </x:c>
      <x:c r="H598" s="141">
        <x:v>46596</x:v>
      </x:c>
      <x:c r="I598" s="123">
        <x:v>29.120000000000001</x:v>
      </x:c>
      <x:c r="J598" s="127"/>
      <x:c r="K598" s="22"/>
      <x:c r="L598" s="127"/>
      <x:c r="M598" s="127"/>
    </x:row>
    <x:row r="599" spans="1:13" ht="22.050000000000001">
      <x:c r="A599" s="23" t="s">
        <x:v>682</x:v>
      </x:c>
      <x:c r="B599" s="23" t="s">
        <x:v>533</x:v>
      </x:c>
      <x:c r="C599" s="124" t="s">
        <x:v>578</x:v>
      </x:c>
      <x:c r="D599" s="124" t="s">
        <x:v>670</x:v>
      </x:c>
      <x:c r="E599" s="158">
        <x:v>199</x:v>
      </x:c>
      <x:c r="F599" s="23" t="s">
        <x:v>218</x:v>
      </x:c>
      <x:c r="G599" s="23" t="s">
        <x:v>748</x:v>
      </x:c>
      <x:c r="H599" s="142">
        <x:v>46596</x:v>
      </x:c>
      <x:c r="I599" s="124">
        <x:v>29.120000000000001</x:v>
      </x:c>
      <x:c r="J599" s="125"/>
      <x:c r="K599" s="25"/>
      <x:c r="L599" s="127"/>
      <x:c r="M599" s="127"/>
    </x:row>
    <x:row r="600" spans="1:13" ht="22.050000000000001">
      <x:c r="A600" s="20" t="s">
        <x:v>682</x:v>
      </x:c>
      <x:c r="B600" s="20" t="s">
        <x:v>678</x:v>
      </x:c>
      <x:c r="C600" s="123" t="s">
        <x:v>636</x:v>
      </x:c>
      <x:c r="D600" s="123" t="s">
        <x:v>532</x:v>
      </x:c>
      <x:c r="E600" s="157">
        <x:v>29</x:v>
      </x:c>
      <x:c r="F600" s="20" t="s">
        <x:v>1092</x:v>
      </x:c>
      <x:c r="G600" s="20" t="s">
        <x:v>617</x:v>
      </x:c>
      <x:c r="H600" s="141">
        <x:v>46409</x:v>
      </x:c>
      <x:c r="I600" s="123">
        <x:v>27.5</x:v>
      </x:c>
      <x:c r="J600" s="127"/>
      <x:c r="K600" s="22"/>
      <x:c r="L600" s="127"/>
      <x:c r="M600" s="127"/>
    </x:row>
    <x:row r="601" spans="1:13" ht="22.050000000000001">
      <x:c r="A601" s="23" t="s">
        <x:v>682</x:v>
      </x:c>
      <x:c r="B601" s="23" t="s">
        <x:v>678</x:v>
      </x:c>
      <x:c r="C601" s="124" t="s">
        <x:v>636</x:v>
      </x:c>
      <x:c r="D601" s="124" t="s">
        <x:v>532</x:v>
      </x:c>
      <x:c r="E601" s="158">
        <x:v>87</x:v>
      </x:c>
      <x:c r="F601" s="23" t="s">
        <x:v>1092</x:v>
      </x:c>
      <x:c r="G601" s="23" t="s">
        <x:v>662</x:v>
      </x:c>
      <x:c r="H601" s="142">
        <x:v>46409</x:v>
      </x:c>
      <x:c r="I601" s="124">
        <x:v>27.5</x:v>
      </x:c>
      <x:c r="J601" s="125"/>
      <x:c r="K601" s="25"/>
      <x:c r="L601" s="127"/>
      <x:c r="M601" s="127"/>
    </x:row>
    <x:row r="602" spans="1:13" ht="22.050000000000001">
      <x:c r="A602" s="22" t="s">
        <x:v>682</x:v>
      </x:c>
      <x:c r="B602" s="22" t="s">
        <x:v>678</x:v>
      </x:c>
      <x:c r="C602" s="127" t="s">
        <x:v>636</x:v>
      </x:c>
      <x:c r="D602" s="127">
        <x:v>278</x:v>
      </x:c>
      <x:c r="E602" s="160">
        <x:v>15</x:v>
      </x:c>
      <x:c r="F602" s="22" t="s">
        <x:v>1070</x:v>
      </x:c>
      <x:c r="G602" s="22" t="s">
        <x:v>579</x:v>
      </x:c>
      <x:c r="H602" s="144">
        <x:v>46438</x:v>
      </x:c>
      <x:c r="I602" s="127">
        <x:v>26.030000000000001</x:v>
      </x:c>
      <x:c r="J602" s="127"/>
      <x:c r="K602" s="22" t="s">
        <x:v>751</x:v>
      </x:c>
      <x:c r="L602" s="127"/>
      <x:c r="M602" s="127"/>
    </x:row>
    <x:row r="603" spans="1:13" ht="22.050000000000001">
      <x:c r="A603" s="25" t="s">
        <x:v>682</x:v>
      </x:c>
      <x:c r="B603" s="25" t="s">
        <x:v>678</x:v>
      </x:c>
      <x:c r="C603" s="125" t="s">
        <x:v>636</x:v>
      </x:c>
      <x:c r="D603" s="125">
        <x:v>278</x:v>
      </x:c>
      <x:c r="E603" s="159">
        <x:v>725</x:v>
      </x:c>
      <x:c r="F603" s="25" t="s">
        <x:v>1100</x:v>
      </x:c>
      <x:c r="G603" s="25" t="s">
        <x:v>664</x:v>
      </x:c>
      <x:c r="H603" s="143">
        <x:v>46539</x:v>
      </x:c>
      <x:c r="I603" s="125">
        <x:v>26.530000000000001</x:v>
      </x:c>
      <x:c r="J603" s="125"/>
      <x:c r="K603" s="25" t="s">
        <x:v>751</x:v>
      </x:c>
      <x:c r="L603" s="127"/>
      <x:c r="M603" s="127"/>
    </x:row>
    <x:row r="604" spans="1:13" ht="22.050000000000001">
      <x:c r="A604" s="22" t="s">
        <x:v>682</x:v>
      </x:c>
      <x:c r="B604" s="22" t="s">
        <x:v>678</x:v>
      </x:c>
      <x:c r="C604" s="127" t="s">
        <x:v>636</x:v>
      </x:c>
      <x:c r="D604" s="127">
        <x:v>278</x:v>
      </x:c>
      <x:c r="E604" s="160">
        <x:v>8</x:v>
      </x:c>
      <x:c r="F604" s="22" t="s">
        <x:v>1082</x:v>
      </x:c>
      <x:c r="G604" s="22" t="s">
        <x:v>617</x:v>
      </x:c>
      <x:c r="H604" s="144">
        <x:v>46589</x:v>
      </x:c>
      <x:c r="I604" s="127">
        <x:v>27.190000000000001</x:v>
      </x:c>
      <x:c r="J604" s="127"/>
      <x:c r="K604" s="22" t="s">
        <x:v>751</x:v>
      </x:c>
      <x:c r="L604" s="127"/>
      <x:c r="M604" s="127"/>
    </x:row>
    <x:row r="605" spans="1:13" ht="22.050000000000001">
      <x:c r="A605" s="25" t="s">
        <x:v>682</x:v>
      </x:c>
      <x:c r="B605" s="25" t="s">
        <x:v>678</x:v>
      </x:c>
      <x:c r="C605" s="125" t="s">
        <x:v>636</x:v>
      </x:c>
      <x:c r="D605" s="125">
        <x:v>278</x:v>
      </x:c>
      <x:c r="E605" s="159">
        <x:v>72</x:v>
      </x:c>
      <x:c r="F605" s="25" t="s">
        <x:v>1082</x:v>
      </x:c>
      <x:c r="G605" s="25" t="s">
        <x:v>617</x:v>
      </x:c>
      <x:c r="H605" s="143">
        <x:v>46589</x:v>
      </x:c>
      <x:c r="I605" s="125">
        <x:v>27.190000000000001</x:v>
      </x:c>
      <x:c r="J605" s="125"/>
      <x:c r="K605" s="25" t="s">
        <x:v>751</x:v>
      </x:c>
      <x:c r="L605" s="127"/>
      <x:c r="M605" s="127"/>
    </x:row>
    <x:row r="606" spans="1:13" ht="22.050000000000001">
      <x:c r="A606" s="20" t="s">
        <x:v>682</x:v>
      </x:c>
      <x:c r="B606" s="20" t="s">
        <x:v>1014</x:v>
      </x:c>
      <x:c r="C606" s="123" t="s">
        <x:v>616</x:v>
      </x:c>
      <x:c r="D606" s="123">
        <x:v>267</x:v>
      </x:c>
      <x:c r="E606" s="157">
        <x:v>2</x:v>
      </x:c>
      <x:c r="F606" s="20" t="s">
        <x:v>785</x:v>
      </x:c>
      <x:c r="G606" s="20" t="s">
        <x:v>664</x:v>
      </x:c>
      <x:c r="H606" s="141">
        <x:v>46399</x:v>
      </x:c>
      <x:c r="I606" s="123">
        <x:v>17.940000000000001</x:v>
      </x:c>
      <x:c r="J606" s="127"/>
      <x:c r="K606" s="22"/>
      <x:c r="L606" s="127"/>
      <x:c r="M606" s="127"/>
    </x:row>
    <x:row r="607" spans="1:13" ht="22.050000000000001">
      <x:c r="A607" s="23" t="s">
        <x:v>682</x:v>
      </x:c>
      <x:c r="B607" s="23" t="s">
        <x:v>1014</x:v>
      </x:c>
      <x:c r="C607" s="124" t="s">
        <x:v>616</x:v>
      </x:c>
      <x:c r="D607" s="124">
        <x:v>562</x:v>
      </x:c>
      <x:c r="E607" s="158">
        <x:v>37</x:v>
      </x:c>
      <x:c r="F607" s="23" t="s">
        <x:v>240</x:v>
      </x:c>
      <x:c r="G607" s="23" t="s">
        <x:v>722</x:v>
      </x:c>
      <x:c r="H607" s="142">
        <x:v>46569</x:v>
      </x:c>
      <x:c r="I607" s="124">
        <x:v>20.510000000000002</x:v>
      </x:c>
      <x:c r="J607" s="125"/>
      <x:c r="K607" s="25"/>
      <x:c r="L607" s="127"/>
      <x:c r="M607" s="127"/>
    </x:row>
    <x:row r="608" spans="1:13" ht="22.050000000000001">
      <x:c r="A608" s="20" t="s">
        <x:v>682</x:v>
      </x:c>
      <x:c r="B608" s="20" t="s">
        <x:v>1014</x:v>
      </x:c>
      <x:c r="C608" s="123" t="s">
        <x:v>616</x:v>
      </x:c>
      <x:c r="D608" s="123" t="s">
        <x:v>596</x:v>
      </x:c>
      <x:c r="E608" s="157">
        <x:v>66</x:v>
      </x:c>
      <x:c r="F608" s="20" t="s">
        <x:v>252</x:v>
      </x:c>
      <x:c r="G608" s="20" t="s">
        <x:v>617</x:v>
      </x:c>
      <x:c r="H608" s="141">
        <x:v>46591</x:v>
      </x:c>
      <x:c r="I608" s="123">
        <x:v>17.34</x:v>
      </x:c>
      <x:c r="J608" s="127"/>
      <x:c r="K608" s="22"/>
      <x:c r="L608" s="127"/>
      <x:c r="M608" s="127"/>
    </x:row>
    <x:row r="609" spans="1:13" ht="22.050000000000001">
      <x:c r="A609" s="23" t="s">
        <x:v>682</x:v>
      </x:c>
      <x:c r="B609" s="23" t="s">
        <x:v>1014</x:v>
      </x:c>
      <x:c r="C609" s="124" t="s">
        <x:v>616</x:v>
      </x:c>
      <x:c r="D609" s="124" t="s">
        <x:v>596</x:v>
      </x:c>
      <x:c r="E609" s="158">
        <x:v>104</x:v>
      </x:c>
      <x:c r="F609" s="23" t="s">
        <x:v>240</x:v>
      </x:c>
      <x:c r="G609" s="23" t="s">
        <x:v>722</x:v>
      </x:c>
      <x:c r="H609" s="142">
        <x:v>46613</x:v>
      </x:c>
      <x:c r="I609" s="124">
        <x:v>17.190000000000001</x:v>
      </x:c>
      <x:c r="J609" s="125"/>
      <x:c r="K609" s="25"/>
      <x:c r="L609" s="127"/>
      <x:c r="M609" s="127"/>
    </x:row>
    <x:row r="610" spans="1:13" ht="22.050000000000001">
      <x:c r="A610" s="20" t="s">
        <x:v>682</x:v>
      </x:c>
      <x:c r="B610" s="20" t="s">
        <x:v>1014</x:v>
      </x:c>
      <x:c r="C610" s="123" t="s">
        <x:v>636</x:v>
      </x:c>
      <x:c r="D610" s="123">
        <x:v>562</x:v>
      </x:c>
      <x:c r="E610" s="157">
        <x:v>9</x:v>
      </x:c>
      <x:c r="F610" s="20" t="s">
        <x:v>228</x:v>
      </x:c>
      <x:c r="G610" s="30" t="s">
        <x:v>639</x:v>
      </x:c>
      <x:c r="H610" s="141">
        <x:v>46436</x:v>
      </x:c>
      <x:c r="I610" s="123">
        <x:v>20.879999999999999</x:v>
      </x:c>
      <x:c r="J610" s="127"/>
      <x:c r="K610" s="22" t="s">
        <x:v>1077</x:v>
      </x:c>
      <x:c r="L610" s="127"/>
      <x:c r="M610" s="127"/>
    </x:row>
    <x:row r="611" spans="1:13" ht="22.050000000000001">
      <x:c r="A611" s="23" t="s">
        <x:v>682</x:v>
      </x:c>
      <x:c r="B611" s="23" t="s">
        <x:v>1014</x:v>
      </x:c>
      <x:c r="C611" s="124" t="s">
        <x:v>636</x:v>
      </x:c>
      <x:c r="D611" s="124">
        <x:v>562</x:v>
      </x:c>
      <x:c r="E611" s="158">
        <x:v>21</x:v>
      </x:c>
      <x:c r="F611" s="23" t="s">
        <x:v>228</x:v>
      </x:c>
      <x:c r="G611" s="31" t="s">
        <x:v>309</x:v>
      </x:c>
      <x:c r="H611" s="142">
        <x:v>46436</x:v>
      </x:c>
      <x:c r="I611" s="124">
        <x:v>20.879999999999999</x:v>
      </x:c>
      <x:c r="J611" s="125"/>
      <x:c r="K611" s="25" t="s">
        <x:v>1077</x:v>
      </x:c>
      <x:c r="L611" s="127"/>
      <x:c r="M611" s="127"/>
    </x:row>
    <x:row r="612" spans="1:13" ht="22.050000000000001">
      <x:c r="A612" s="22" t="s">
        <x:v>682</x:v>
      </x:c>
      <x:c r="B612" s="22" t="s">
        <x:v>1096</x:v>
      </x:c>
      <x:c r="C612" s="127" t="s">
        <x:v>627</x:v>
      </x:c>
      <x:c r="D612" s="127">
        <x:v>267</x:v>
      </x:c>
      <x:c r="E612" s="160">
        <x:v>2</x:v>
      </x:c>
      <x:c r="F612" s="22" t="s">
        <x:v>785</x:v>
      </x:c>
      <x:c r="G612" s="22" t="s">
        <x:v>617</x:v>
      </x:c>
      <x:c r="H612" s="144">
        <x:v>46399</x:v>
      </x:c>
      <x:c r="I612" s="127">
        <x:v>18.309999999999999</x:v>
      </x:c>
      <x:c r="J612" s="127"/>
      <x:c r="K612" s="22" t="s">
        <x:v>767</x:v>
      </x:c>
      <x:c r="L612" s="127"/>
      <x:c r="M612" s="127"/>
    </x:row>
    <x:row r="613" spans="1:13" ht="22.050000000000001">
      <x:c r="A613" s="31" t="s">
        <x:v>682</x:v>
      </x:c>
      <x:c r="B613" s="31" t="s">
        <x:v>1096</x:v>
      </x:c>
      <x:c r="C613" s="124" t="s">
        <x:v>616</x:v>
      </x:c>
      <x:c r="D613" s="124" t="s">
        <x:v>596</x:v>
      </x:c>
      <x:c r="E613" s="158">
        <x:v>50</x:v>
      </x:c>
      <x:c r="F613" s="31" t="s">
        <x:v>210</x:v>
      </x:c>
      <x:c r="G613" s="31" t="s">
        <x:v>628</x:v>
      </x:c>
      <x:c r="H613" s="142">
        <x:v>46282</x:v>
      </x:c>
      <x:c r="I613" s="124">
        <x:v>17.09</x:v>
      </x:c>
      <x:c r="J613" s="125"/>
      <x:c r="K613" s="32"/>
      <x:c r="L613" s="125"/>
      <x:c r="M613" s="125"/>
    </x:row>
    <x:row r="614" spans="1:13" ht="22.050000000000001">
      <x:c r="A614" s="30" t="s">
        <x:v>682</x:v>
      </x:c>
      <x:c r="B614" s="30" t="s">
        <x:v>1096</x:v>
      </x:c>
      <x:c r="C614" s="123" t="s">
        <x:v>616</x:v>
      </x:c>
      <x:c r="D614" s="123" t="s">
        <x:v>596</x:v>
      </x:c>
      <x:c r="E614" s="157">
        <x:v>27</x:v>
      </x:c>
      <x:c r="F614" s="30" t="s">
        <x:v>226</x:v>
      </x:c>
      <x:c r="G614" s="30" t="s">
        <x:v>679</x:v>
      </x:c>
      <x:c r="H614" s="141">
        <x:v>46526</x:v>
      </x:c>
      <x:c r="I614" s="123">
        <x:v>16.960000000000001</x:v>
      </x:c>
      <x:c r="J614" s="127"/>
      <x:c r="K614" s="37"/>
      <x:c r="L614" s="125"/>
      <x:c r="M614" s="125"/>
    </x:row>
    <x:row r="615" spans="1:13" ht="22.050000000000001">
      <x:c r="A615" s="23" t="s">
        <x:v>682</x:v>
      </x:c>
      <x:c r="B615" s="23" t="s">
        <x:v>1096</x:v>
      </x:c>
      <x:c r="C615" s="124" t="s">
        <x:v>616</x:v>
      </x:c>
      <x:c r="D615" s="124" t="s">
        <x:v>596</x:v>
      </x:c>
      <x:c r="E615" s="158">
        <x:v>64</x:v>
      </x:c>
      <x:c r="F615" s="23" t="s">
        <x:v>1090</x:v>
      </x:c>
      <x:c r="G615" s="23" t="s">
        <x:v>309</x:v>
      </x:c>
      <x:c r="H615" s="142">
        <x:v>46547</x:v>
      </x:c>
      <x:c r="I615" s="124">
        <x:v>16.640000000000001</x:v>
      </x:c>
      <x:c r="J615" s="125"/>
      <x:c r="K615" s="29"/>
      <x:c r="L615" s="127"/>
      <x:c r="M615" s="127"/>
    </x:row>
    <x:row r="616" spans="1:13" ht="22.050000000000001">
      <x:c r="A616" s="20" t="s">
        <x:v>682</x:v>
      </x:c>
      <x:c r="B616" s="20" t="s">
        <x:v>1096</x:v>
      </x:c>
      <x:c r="C616" s="123" t="s">
        <x:v>636</x:v>
      </x:c>
      <x:c r="D616" s="123">
        <x:v>562</x:v>
      </x:c>
      <x:c r="E616" s="157">
        <x:v>107</x:v>
      </x:c>
      <x:c r="F616" s="20" t="s">
        <x:v>222</x:v>
      </x:c>
      <x:c r="G616" s="20" t="s">
        <x:v>666</x:v>
      </x:c>
      <x:c r="H616" s="141">
        <x:v>46255</x:v>
      </x:c>
      <x:c r="I616" s="123">
        <x:v>20.780000000000001</x:v>
      </x:c>
      <x:c r="J616" s="127"/>
      <x:c r="K616" s="22"/>
      <x:c r="L616" s="127"/>
      <x:c r="M616" s="127"/>
    </x:row>
    <x:row r="617" spans="1:13" ht="22.050000000000001">
      <x:c r="A617" s="25" t="s">
        <x:v>682</x:v>
      </x:c>
      <x:c r="B617" s="25" t="s">
        <x:v>1096</x:v>
      </x:c>
      <x:c r="C617" s="125" t="s">
        <x:v>636</x:v>
      </x:c>
      <x:c r="D617" s="125">
        <x:v>267</x:v>
      </x:c>
      <x:c r="E617" s="159">
        <x:v>14</x:v>
      </x:c>
      <x:c r="F617" s="25" t="s">
        <x:v>216</x:v>
      </x:c>
      <x:c r="G617" s="25" t="s">
        <x:v>617</x:v>
      </x:c>
      <x:c r="H617" s="143">
        <x:v>46364</x:v>
      </x:c>
      <x:c r="I617" s="125">
        <x:v>18.109999999999999</x:v>
      </x:c>
      <x:c r="J617" s="125" t="s">
        <x:v>434</x:v>
      </x:c>
      <x:c r="K617" s="25" t="s">
        <x:v>766</x:v>
      </x:c>
      <x:c r="L617" s="127"/>
      <x:c r="M617" s="127"/>
    </x:row>
    <x:row r="618" spans="1:13" ht="22.050000000000001">
      <x:c r="A618" s="22" t="s">
        <x:v>682</x:v>
      </x:c>
      <x:c r="B618" s="22" t="s">
        <x:v>1096</x:v>
      </x:c>
      <x:c r="C618" s="127" t="s">
        <x:v>636</x:v>
      </x:c>
      <x:c r="D618" s="127">
        <x:v>267</x:v>
      </x:c>
      <x:c r="E618" s="160">
        <x:v>26</x:v>
      </x:c>
      <x:c r="F618" s="22" t="s">
        <x:v>216</x:v>
      </x:c>
      <x:c r="G618" s="22" t="s">
        <x:v>617</x:v>
      </x:c>
      <x:c r="H618" s="144">
        <x:v>46364</x:v>
      </x:c>
      <x:c r="I618" s="127">
        <x:v>18.109999999999999</x:v>
      </x:c>
      <x:c r="J618" s="127" t="s">
        <x:v>406</x:v>
      </x:c>
      <x:c r="K618" s="22" t="s">
        <x:v>766</x:v>
      </x:c>
      <x:c r="L618" s="127"/>
      <x:c r="M618" s="127"/>
    </x:row>
    <x:row r="619" spans="1:13" ht="22.050000000000001">
      <x:c r="A619" s="23" t="s">
        <x:v>682</x:v>
      </x:c>
      <x:c r="B619" s="23" t="s">
        <x:v>573</x:v>
      </x:c>
      <x:c r="C619" s="124" t="s">
        <x:v>627</x:v>
      </x:c>
      <x:c r="D619" s="124">
        <x:v>969</x:v>
      </x:c>
      <x:c r="E619" s="158">
        <x:v>38</x:v>
      </x:c>
      <x:c r="F619" s="23" t="s">
        <x:v>237</x:v>
      </x:c>
      <x:c r="G619" s="23" t="s">
        <x:v>513</x:v>
      </x:c>
      <x:c r="H619" s="142">
        <x:v>46644</x:v>
      </x:c>
      <x:c r="I619" s="124">
        <x:v>24.699999999999999</x:v>
      </x:c>
      <x:c r="J619" s="125"/>
      <x:c r="K619" s="25"/>
      <x:c r="L619" s="127"/>
      <x:c r="M619" s="127"/>
    </x:row>
    <x:row r="620" spans="1:13" ht="22.050000000000001">
      <x:c r="A620" s="20" t="s">
        <x:v>682</x:v>
      </x:c>
      <x:c r="B620" s="20" t="s">
        <x:v>573</x:v>
      </x:c>
      <x:c r="C620" s="123" t="s">
        <x:v>627</x:v>
      </x:c>
      <x:c r="D620" s="123">
        <x:v>969</x:v>
      </x:c>
      <x:c r="E620" s="157">
        <x:v>35</x:v>
      </x:c>
      <x:c r="F620" s="20" t="s">
        <x:v>237</x:v>
      </x:c>
      <x:c r="G620" s="20" t="s">
        <x:v>617</x:v>
      </x:c>
      <x:c r="H620" s="141">
        <x:v>46644</x:v>
      </x:c>
      <x:c r="I620" s="123">
        <x:v>24.699999999999999</x:v>
      </x:c>
      <x:c r="J620" s="127"/>
      <x:c r="K620" s="22"/>
      <x:c r="L620" s="127"/>
      <x:c r="M620" s="127"/>
    </x:row>
    <x:row r="621" spans="1:13" ht="22.050000000000001">
      <x:c r="A621" s="25" t="s">
        <x:v>682</x:v>
      </x:c>
      <x:c r="B621" s="25" t="s">
        <x:v>573</x:v>
      </x:c>
      <x:c r="C621" s="125" t="s">
        <x:v>636</x:v>
      </x:c>
      <x:c r="D621" s="125">
        <x:v>969</x:v>
      </x:c>
      <x:c r="E621" s="159">
        <x:v>14</x:v>
      </x:c>
      <x:c r="F621" s="25" t="s">
        <x:v>235</x:v>
      </x:c>
      <x:c r="G621" s="25" t="s">
        <x:v>617</x:v>
      </x:c>
      <x:c r="H621" s="143">
        <x:v>46613</x:v>
      </x:c>
      <x:c r="I621" s="125">
        <x:v>25.199999999999999</x:v>
      </x:c>
      <x:c r="J621" s="125"/>
      <x:c r="K621" s="25" t="s">
        <x:v>767</x:v>
      </x:c>
      <x:c r="L621" s="127"/>
      <x:c r="M621" s="127"/>
    </x:row>
    <x:row r="622" spans="1:13" ht="22.050000000000001">
      <x:c r="A622" s="20" t="s">
        <x:v>682</x:v>
      </x:c>
      <x:c r="B622" s="20" t="s">
        <x:v>573</x:v>
      </x:c>
      <x:c r="C622" s="123" t="s">
        <x:v>636</x:v>
      </x:c>
      <x:c r="D622" s="123">
        <x:v>969</x:v>
      </x:c>
      <x:c r="E622" s="157">
        <x:v>9</x:v>
      </x:c>
      <x:c r="F622" s="20" t="s">
        <x:v>190</x:v>
      </x:c>
      <x:c r="G622" s="20" t="s">
        <x:v>309</x:v>
      </x:c>
      <x:c r="H622" s="141">
        <x:v>46749</x:v>
      </x:c>
      <x:c r="I622" s="123">
        <x:v>25.300000000000001</x:v>
      </x:c>
      <x:c r="J622" s="127"/>
      <x:c r="K622" s="22"/>
      <x:c r="L622" s="127"/>
      <x:c r="M622" s="127"/>
    </x:row>
    <x:row r="623" spans="1:13" ht="22.050000000000001">
      <x:c r="A623" s="23" t="s">
        <x:v>1022</x:v>
      </x:c>
      <x:c r="B623" s="23" t="s">
        <x:v>573</x:v>
      </x:c>
      <x:c r="C623" s="124" t="s">
        <x:v>636</x:v>
      </x:c>
      <x:c r="D623" s="124" t="s">
        <x:v>685</x:v>
      </x:c>
      <x:c r="E623" s="158">
        <x:v>1</x:v>
      </x:c>
      <x:c r="F623" s="23" t="s">
        <x:v>212</x:v>
      </x:c>
      <x:c r="G623" s="23" t="s">
        <x:v>639</x:v>
      </x:c>
      <x:c r="H623" s="142">
        <x:v>46502</x:v>
      </x:c>
      <x:c r="I623" s="124">
        <x:v>28.440000000000001</x:v>
      </x:c>
      <x:c r="J623" s="125"/>
      <x:c r="K623" s="25" t="s">
        <x:v>1087</x:v>
      </x:c>
      <x:c r="L623" s="127"/>
      <x:c r="M623" s="127"/>
    </x:row>
    <x:row r="624" spans="1:13" ht="22.050000000000001">
      <x:c r="A624" s="20" t="s">
        <x:v>1022</x:v>
      </x:c>
      <x:c r="B624" s="20" t="s">
        <x:v>573</x:v>
      </x:c>
      <x:c r="C624" s="123" t="s">
        <x:v>636</x:v>
      </x:c>
      <x:c r="D624" s="123" t="s">
        <x:v>685</x:v>
      </x:c>
      <x:c r="E624" s="157">
        <x:v>7</x:v>
      </x:c>
      <x:c r="F624" s="20" t="s">
        <x:v>188</x:v>
      </x:c>
      <x:c r="G624" s="20" t="s">
        <x:v>290</x:v>
      </x:c>
      <x:c r="H624" s="141">
        <x:v>46606</x:v>
      </x:c>
      <x:c r="I624" s="123">
        <x:v>27.809999999999999</x:v>
      </x:c>
      <x:c r="J624" s="127"/>
      <x:c r="K624" s="22"/>
      <x:c r="L624" s="127"/>
      <x:c r="M624" s="127"/>
    </x:row>
    <x:row r="625" spans="1:13" ht="22.050000000000001">
      <x:c r="A625" s="25" t="s">
        <x:v>1022</x:v>
      </x:c>
      <x:c r="B625" s="25" t="s">
        <x:v>573</x:v>
      </x:c>
      <x:c r="C625" s="125" t="s">
        <x:v>636</x:v>
      </x:c>
      <x:c r="D625" s="125" t="s">
        <x:v>685</x:v>
      </x:c>
      <x:c r="E625" s="159">
        <x:v>6</x:v>
      </x:c>
      <x:c r="F625" s="25" t="s">
        <x:v>227</x:v>
      </x:c>
      <x:c r="G625" s="25" t="s">
        <x:v>617</x:v>
      </x:c>
      <x:c r="H625" s="143">
        <x:v>46620</x:v>
      </x:c>
      <x:c r="I625" s="125">
        <x:v>27.02</x:v>
      </x:c>
      <x:c r="J625" s="125"/>
      <x:c r="K625" s="25" t="s">
        <x:v>361</x:v>
      </x:c>
      <x:c r="L625" s="125"/>
      <x:c r="M625" s="125"/>
    </x:row>
    <x:row r="626" spans="1:13" ht="22.050000000000001">
      <x:c r="A626" s="30" t="s">
        <x:v>1022</x:v>
      </x:c>
      <x:c r="B626" s="30" t="s">
        <x:v>573</x:v>
      </x:c>
      <x:c r="C626" s="123" t="s">
        <x:v>636</x:v>
      </x:c>
      <x:c r="D626" s="123" t="s">
        <x:v>685</x:v>
      </x:c>
      <x:c r="E626" s="157">
        <x:v>15</x:v>
      </x:c>
      <x:c r="F626" s="30" t="s">
        <x:v>227</x:v>
      </x:c>
      <x:c r="G626" s="30" t="s">
        <x:v>747</x:v>
      </x:c>
      <x:c r="H626" s="141">
        <x:v>46620</x:v>
      </x:c>
      <x:c r="I626" s="123">
        <x:v>27.02</x:v>
      </x:c>
      <x:c r="J626" s="123"/>
      <x:c r="K626" s="22"/>
      <x:c r="L626" s="123"/>
      <x:c r="M626" s="123"/>
    </x:row>
    <x:row r="627" spans="1:13" ht="22.050000000000001">
      <x:c r="A627" s="23" t="s">
        <x:v>1022</x:v>
      </x:c>
      <x:c r="B627" s="31" t="s">
        <x:v>573</x:v>
      </x:c>
      <x:c r="C627" s="124" t="s">
        <x:v>636</x:v>
      </x:c>
      <x:c r="D627" s="124" t="s">
        <x:v>685</x:v>
      </x:c>
      <x:c r="E627" s="158">
        <x:v>169</x:v>
      </x:c>
      <x:c r="F627" s="23" t="s">
        <x:v>227</x:v>
      </x:c>
      <x:c r="G627" s="23" t="s">
        <x:v>747</x:v>
      </x:c>
      <x:c r="H627" s="142">
        <x:v>46620</x:v>
      </x:c>
      <x:c r="I627" s="124">
        <x:v>27.02</x:v>
      </x:c>
      <x:c r="J627" s="125"/>
      <x:c r="K627" s="25"/>
      <x:c r="L627" s="127"/>
      <x:c r="M627" s="127"/>
    </x:row>
    <x:row r="628" spans="1:13" ht="22.050000000000001">
      <x:c r="A628" s="20" t="s">
        <x:v>1022</x:v>
      </x:c>
      <x:c r="B628" s="20" t="s">
        <x:v>573</x:v>
      </x:c>
      <x:c r="C628" s="123" t="s">
        <x:v>636</x:v>
      </x:c>
      <x:c r="D628" s="123" t="s">
        <x:v>685</x:v>
      </x:c>
      <x:c r="E628" s="157">
        <x:v>200</x:v>
      </x:c>
      <x:c r="F628" s="20" t="s">
        <x:v>209</x:v>
      </x:c>
      <x:c r="G628" s="20" t="s">
        <x:v>747</x:v>
      </x:c>
      <x:c r="H628" s="141">
        <x:v>46703</x:v>
      </x:c>
      <x:c r="I628" s="123">
        <x:v>27.57</x:v>
      </x:c>
      <x:c r="J628" s="127"/>
      <x:c r="K628" s="22"/>
      <x:c r="L628" s="127"/>
      <x:c r="M628" s="127"/>
    </x:row>
    <x:row r="629" spans="1:13" ht="22.050000000000001">
      <x:c r="A629" s="23" t="s">
        <x:v>1022</x:v>
      </x:c>
      <x:c r="B629" s="23" t="s">
        <x:v>573</x:v>
      </x:c>
      <x:c r="C629" s="124" t="s">
        <x:v>636</x:v>
      </x:c>
      <x:c r="D629" s="124" t="s">
        <x:v>685</x:v>
      </x:c>
      <x:c r="E629" s="158">
        <x:v>143</x:v>
      </x:c>
      <x:c r="F629" s="23" t="s">
        <x:v>813</x:v>
      </x:c>
      <x:c r="G629" s="23" t="s">
        <x:v>617</x:v>
      </x:c>
      <x:c r="H629" s="142">
        <x:v>46760</x:v>
      </x:c>
      <x:c r="I629" s="124">
        <x:v>26.370000000000001</x:v>
      </x:c>
      <x:c r="J629" s="125"/>
      <x:c r="K629" s="25"/>
      <x:c r="L629" s="127"/>
      <x:c r="M629" s="127"/>
    </x:row>
    <x:row r="630" spans="1:13" ht="22.050000000000001">
      <x:c r="A630" s="20" t="s">
        <x:v>1022</x:v>
      </x:c>
      <x:c r="B630" s="20" t="s">
        <x:v>1098</x:v>
      </x:c>
      <x:c r="C630" s="123" t="s">
        <x:v>627</x:v>
      </x:c>
      <x:c r="D630" s="123">
        <x:v>45321</x:v>
      </x:c>
      <x:c r="E630" s="157">
        <x:v>14</x:v>
      </x:c>
      <x:c r="F630" s="20" t="s">
        <x:v>798</x:v>
      </x:c>
      <x:c r="G630" s="20" t="s">
        <x:v>617</x:v>
      </x:c>
      <x:c r="H630" s="141">
        <x:v>46692</x:v>
      </x:c>
      <x:c r="I630" s="123">
        <x:v>25.48</x:v>
      </x:c>
      <x:c r="J630" s="127"/>
      <x:c r="K630" s="22" t="s">
        <x:v>1094</x:v>
      </x:c>
      <x:c r="L630" s="127"/>
      <x:c r="M630" s="127"/>
    </x:row>
    <x:row r="631" spans="1:13" ht="22.050000000000001">
      <x:c r="A631" s="23" t="s">
        <x:v>539</x:v>
      </x:c>
      <x:c r="B631" s="23" t="s">
        <x:v>533</x:v>
      </x:c>
      <x:c r="C631" s="124" t="s">
        <x:v>636</x:v>
      </x:c>
      <x:c r="D631" s="124" t="s">
        <x:v>625</x:v>
      </x:c>
      <x:c r="E631" s="158">
        <x:v>27</x:v>
      </x:c>
      <x:c r="F631" s="23" t="s">
        <x:v>819</x:v>
      </x:c>
      <x:c r="G631" s="23" t="s">
        <x:v>617</x:v>
      </x:c>
      <x:c r="H631" s="142">
        <x:v>46681</x:v>
      </x:c>
      <x:c r="I631" s="124">
        <x:v>25.609999999999999</x:v>
      </x:c>
      <x:c r="J631" s="125"/>
      <x:c r="K631" s="25"/>
      <x:c r="L631" s="127"/>
      <x:c r="M631" s="127"/>
    </x:row>
    <x:row r="632" spans="1:13" ht="22.050000000000001">
      <x:c r="A632" s="22" t="s">
        <x:v>539</x:v>
      </x:c>
      <x:c r="B632" s="22" t="s">
        <x:v>533</x:v>
      </x:c>
      <x:c r="C632" s="127" t="s">
        <x:v>636</x:v>
      </x:c>
      <x:c r="D632" s="127" t="s">
        <x:v>670</x:v>
      </x:c>
      <x:c r="E632" s="160">
        <x:v>22</x:v>
      </x:c>
      <x:c r="F632" s="22" t="s">
        <x:v>97</x:v>
      </x:c>
      <x:c r="G632" s="22" t="s">
        <x:v>617</x:v>
      </x:c>
      <x:c r="H632" s="144">
        <x:v>46736</x:v>
      </x:c>
      <x:c r="I632" s="127">
        <x:v>28.109999999999999</x:v>
      </x:c>
      <x:c r="J632" s="127"/>
      <x:c r="K632" s="22" t="s">
        <x:v>767</x:v>
      </x:c>
      <x:c r="L632" s="127"/>
      <x:c r="M632" s="127"/>
    </x:row>
    <x:row r="633" spans="1:13" ht="22.050000000000001">
      <x:c r="A633" s="23" t="s">
        <x:v>539</x:v>
      </x:c>
      <x:c r="B633" s="23" t="s">
        <x:v>533</x:v>
      </x:c>
      <x:c r="C633" s="124" t="s">
        <x:v>636</x:v>
      </x:c>
      <x:c r="D633" s="124" t="s">
        <x:v>670</x:v>
      </x:c>
      <x:c r="E633" s="158">
        <x:v>200</x:v>
      </x:c>
      <x:c r="F633" s="23" t="s">
        <x:v>195</x:v>
      </x:c>
      <x:c r="G633" s="23" t="s">
        <x:v>617</x:v>
      </x:c>
      <x:c r="H633" s="142">
        <x:v>46753</x:v>
      </x:c>
      <x:c r="I633" s="124">
        <x:v>28.550000000000001</x:v>
      </x:c>
      <x:c r="J633" s="125"/>
      <x:c r="K633" s="25"/>
      <x:c r="L633" s="127"/>
      <x:c r="M633" s="127"/>
    </x:row>
    <x:row r="634" spans="1:13" ht="22.050000000000001">
      <x:c r="A634" s="20" t="s">
        <x:v>593</x:v>
      </x:c>
      <x:c r="B634" s="20" t="s">
        <x:v>370</x:v>
      </x:c>
      <x:c r="C634" s="123" t="s">
        <x:v>627</x:v>
      </x:c>
      <x:c r="D634" s="123" t="s">
        <x:v>366</x:v>
      </x:c>
      <x:c r="E634" s="157">
        <x:v>0</x:v>
      </x:c>
      <x:c r="F634" s="20" t="s">
        <x:v>846</x:v>
      </x:c>
      <x:c r="G634" s="20" t="s">
        <x:v>662</x:v>
      </x:c>
      <x:c r="H634" s="141">
        <x:v>46172</x:v>
      </x:c>
      <x:c r="I634" s="123">
        <x:v>19.699999999999999</x:v>
      </x:c>
      <x:c r="J634" s="127"/>
      <x:c r="K634" s="49"/>
      <x:c r="L634" s="127"/>
      <x:c r="M634" s="127"/>
    </x:row>
    <x:row r="635" spans="1:13" ht="22.050000000000001">
      <x:c r="A635" s="23" t="s">
        <x:v>764</x:v>
      </x:c>
      <x:c r="B635" s="23" t="s">
        <x:v>533</x:v>
      </x:c>
      <x:c r="C635" s="124" t="s">
        <x:v>627</x:v>
      </x:c>
      <x:c r="D635" s="124" t="s">
        <x:v>625</x:v>
      </x:c>
      <x:c r="E635" s="158">
        <x:v>5</x:v>
      </x:c>
      <x:c r="F635" s="23" t="s">
        <x:v>145</x:v>
      </x:c>
      <x:c r="G635" s="23" t="s">
        <x:v>617</x:v>
      </x:c>
      <x:c r="H635" s="142">
        <x:v>46249</x:v>
      </x:c>
      <x:c r="I635" s="124">
        <x:v>19.289999999999999</x:v>
      </x:c>
      <x:c r="J635" s="125"/>
      <x:c r="K635" s="25"/>
      <x:c r="L635" s="127"/>
      <x:c r="M635" s="127"/>
    </x:row>
    <x:row r="636" spans="1:13" ht="22.050000000000001">
      <x:c r="A636" s="22" t="s">
        <x:v>764</x:v>
      </x:c>
      <x:c r="B636" s="22" t="s">
        <x:v>533</x:v>
      </x:c>
      <x:c r="C636" s="127" t="s">
        <x:v>627</x:v>
      </x:c>
      <x:c r="D636" s="127" t="s">
        <x:v>618</x:v>
      </x:c>
      <x:c r="E636" s="160">
        <x:v>2</x:v>
      </x:c>
      <x:c r="F636" s="22" t="s">
        <x:v>167</x:v>
      </x:c>
      <x:c r="G636" s="22" t="s">
        <x:v>617</x:v>
      </x:c>
      <x:c r="H636" s="144">
        <x:v>46357</x:v>
      </x:c>
      <x:c r="I636" s="127">
        <x:v>17.530000000000001</x:v>
      </x:c>
      <x:c r="J636" s="127"/>
      <x:c r="K636" s="22" t="s">
        <x:v>428</x:v>
      </x:c>
      <x:c r="L636" s="127"/>
      <x:c r="M636" s="127"/>
    </x:row>
    <x:row r="637" spans="1:13" ht="22.050000000000001">
      <x:c r="A637" s="23" t="s">
        <x:v>764</x:v>
      </x:c>
      <x:c r="B637" s="23" t="s">
        <x:v>533</x:v>
      </x:c>
      <x:c r="C637" s="124" t="s">
        <x:v>627</x:v>
      </x:c>
      <x:c r="D637" s="124" t="s">
        <x:v>635</x:v>
      </x:c>
      <x:c r="E637" s="158">
        <x:v>51</x:v>
      </x:c>
      <x:c r="F637" s="23" t="s">
        <x:v>102</x:v>
      </x:c>
      <x:c r="G637" s="23" t="s">
        <x:v>664</x:v>
      </x:c>
      <x:c r="H637" s="142">
        <x:v>46364</x:v>
      </x:c>
      <x:c r="I637" s="124">
        <x:v>19.41</x:v>
      </x:c>
      <x:c r="J637" s="125"/>
      <x:c r="K637" s="25"/>
      <x:c r="L637" s="127"/>
      <x:c r="M637" s="127"/>
    </x:row>
    <x:row r="638" spans="1:13" ht="22.050000000000001">
      <x:c r="A638" s="42" t="s">
        <x:v>764</x:v>
      </x:c>
      <x:c r="B638" s="42" t="s">
        <x:v>533</x:v>
      </x:c>
      <x:c r="C638" s="134" t="s">
        <x:v>627</x:v>
      </x:c>
      <x:c r="D638" s="134" t="s">
        <x:v>618</x:v>
      </x:c>
      <x:c r="E638" s="164">
        <x:v>180</x:v>
      </x:c>
      <x:c r="F638" s="42" t="s">
        <x:v>129</x:v>
      </x:c>
      <x:c r="G638" s="42" t="s">
        <x:v>639</x:v>
      </x:c>
      <x:c r="H638" s="148">
        <x:v>46395</x:v>
      </x:c>
      <x:c r="I638" s="134">
        <x:v>18.34</x:v>
      </x:c>
      <x:c r="J638" s="127"/>
      <x:c r="K638" s="22"/>
      <x:c r="L638" s="127"/>
      <x:c r="M638" s="127" t="b">
        <x:v>1</x:v>
      </x:c>
    </x:row>
    <x:row r="639" spans="1:13" ht="22.050000000000001">
      <x:c r="A639" s="43" t="s">
        <x:v>764</x:v>
      </x:c>
      <x:c r="B639" s="43" t="s">
        <x:v>533</x:v>
      </x:c>
      <x:c r="C639" s="135" t="s">
        <x:v>627</x:v>
      </x:c>
      <x:c r="D639" s="135" t="s">
        <x:v>618</x:v>
      </x:c>
      <x:c r="E639" s="165">
        <x:v>10</x:v>
      </x:c>
      <x:c r="F639" s="43" t="s">
        <x:v>48</x:v>
      </x:c>
      <x:c r="G639" s="43" t="s">
        <x:v>628</x:v>
      </x:c>
      <x:c r="H639" s="149">
        <x:v>46458</x:v>
      </x:c>
      <x:c r="I639" s="135">
        <x:v>17.84</x:v>
      </x:c>
      <x:c r="J639" s="125"/>
      <x:c r="K639" s="25"/>
      <x:c r="L639" s="127"/>
      <x:c r="M639" s="127" t="b">
        <x:v>1</x:v>
      </x:c>
    </x:row>
    <x:row r="640" spans="1:13" ht="22.050000000000001">
      <x:c r="A640" s="42" t="s">
        <x:v>764</x:v>
      </x:c>
      <x:c r="B640" s="42" t="s">
        <x:v>533</x:v>
      </x:c>
      <x:c r="C640" s="134" t="s">
        <x:v>627</x:v>
      </x:c>
      <x:c r="D640" s="134" t="s">
        <x:v>618</x:v>
      </x:c>
      <x:c r="E640" s="164">
        <x:v>47</x:v>
      </x:c>
      <x:c r="F640" s="42" t="s">
        <x:v>48</x:v>
      </x:c>
      <x:c r="G640" s="42" t="s">
        <x:v>628</x:v>
      </x:c>
      <x:c r="H640" s="148">
        <x:v>46458</x:v>
      </x:c>
      <x:c r="I640" s="134">
        <x:v>17.84</x:v>
      </x:c>
      <x:c r="J640" s="127"/>
      <x:c r="K640" s="22"/>
      <x:c r="L640" s="127"/>
      <x:c r="M640" s="127" t="b">
        <x:v>1</x:v>
      </x:c>
    </x:row>
    <x:row r="641" spans="1:13" ht="22.050000000000001">
      <x:c r="A641" s="43" t="s">
        <x:v>764</x:v>
      </x:c>
      <x:c r="B641" s="43" t="s">
        <x:v>533</x:v>
      </x:c>
      <x:c r="C641" s="135" t="s">
        <x:v>627</x:v>
      </x:c>
      <x:c r="D641" s="135" t="s">
        <x:v>618</x:v>
      </x:c>
      <x:c r="E641" s="165">
        <x:v>20</x:v>
      </x:c>
      <x:c r="F641" s="43" t="s">
        <x:v>788</x:v>
      </x:c>
      <x:c r="G641" s="43" t="s">
        <x:v>652</x:v>
      </x:c>
      <x:c r="H641" s="149">
        <x:v>46620</x:v>
      </x:c>
      <x:c r="I641" s="135">
        <x:v>17.699999999999999</x:v>
      </x:c>
      <x:c r="J641" s="125"/>
      <x:c r="K641" s="25"/>
      <x:c r="L641" s="127"/>
      <x:c r="M641" s="127" t="b">
        <x:v>1</x:v>
      </x:c>
    </x:row>
    <x:row r="642" spans="1:13" ht="22.050000000000001">
      <x:c r="A642" s="42" t="s">
        <x:v>764</x:v>
      </x:c>
      <x:c r="B642" s="42" t="s">
        <x:v>533</x:v>
      </x:c>
      <x:c r="C642" s="134" t="s">
        <x:v>627</x:v>
      </x:c>
      <x:c r="D642" s="134" t="s">
        <x:v>618</x:v>
      </x:c>
      <x:c r="E642" s="164">
        <x:v>42</x:v>
      </x:c>
      <x:c r="F642" s="42" t="s">
        <x:v>788</x:v>
      </x:c>
      <x:c r="G642" s="42" t="s">
        <x:v>652</x:v>
      </x:c>
      <x:c r="H642" s="148">
        <x:v>46620</x:v>
      </x:c>
      <x:c r="I642" s="134">
        <x:v>17.699999999999999</x:v>
      </x:c>
      <x:c r="J642" s="127"/>
      <x:c r="K642" s="22"/>
      <x:c r="L642" s="127"/>
      <x:c r="M642" s="127" t="b">
        <x:v>1</x:v>
      </x:c>
    </x:row>
    <x:row r="643" spans="1:13" ht="22.050000000000001">
      <x:c r="A643" s="23" t="s">
        <x:v>764</x:v>
      </x:c>
      <x:c r="B643" s="23" t="s">
        <x:v>533</x:v>
      </x:c>
      <x:c r="C643" s="124" t="s">
        <x:v>627</x:v>
      </x:c>
      <x:c r="D643" s="124" t="s">
        <x:v>618</x:v>
      </x:c>
      <x:c r="E643" s="158">
        <x:v>57</x:v>
      </x:c>
      <x:c r="F643" s="23" t="s">
        <x:v>788</x:v>
      </x:c>
      <x:c r="G643" s="23" t="s">
        <x:v>652</x:v>
      </x:c>
      <x:c r="H643" s="142">
        <x:v>46620</x:v>
      </x:c>
      <x:c r="I643" s="124">
        <x:v>17.699999999999999</x:v>
      </x:c>
      <x:c r="J643" s="125"/>
      <x:c r="K643" s="25"/>
      <x:c r="L643" s="127"/>
      <x:c r="M643" s="127"/>
    </x:row>
    <x:row r="644" spans="1:13" ht="22.050000000000001">
      <x:c r="A644" s="42" t="s">
        <x:v>764</x:v>
      </x:c>
      <x:c r="B644" s="42" t="s">
        <x:v>533</x:v>
      </x:c>
      <x:c r="C644" s="134" t="s">
        <x:v>627</x:v>
      </x:c>
      <x:c r="D644" s="134" t="s">
        <x:v>618</x:v>
      </x:c>
      <x:c r="E644" s="164">
        <x:v>72</x:v>
      </x:c>
      <x:c r="F644" s="42" t="s">
        <x:v>788</x:v>
      </x:c>
      <x:c r="G644" s="42" t="s">
        <x:v>652</x:v>
      </x:c>
      <x:c r="H644" s="148">
        <x:v>46620</x:v>
      </x:c>
      <x:c r="I644" s="134">
        <x:v>17.699999999999999</x:v>
      </x:c>
      <x:c r="J644" s="127"/>
      <x:c r="K644" s="22"/>
      <x:c r="L644" s="127"/>
      <x:c r="M644" s="127" t="b">
        <x:v>1</x:v>
      </x:c>
    </x:row>
    <x:row r="645" spans="1:13" ht="22.050000000000001">
      <x:c r="A645" s="23" t="s">
        <x:v>764</x:v>
      </x:c>
      <x:c r="B645" s="23" t="s">
        <x:v>533</x:v>
      </x:c>
      <x:c r="C645" s="124" t="s">
        <x:v>744</x:v>
      </x:c>
      <x:c r="D645" s="124" t="s">
        <x:v>635</x:v>
      </x:c>
      <x:c r="E645" s="158">
        <x:v>200</x:v>
      </x:c>
      <x:c r="F645" s="23" t="s">
        <x:v>135</x:v>
      </x:c>
      <x:c r="G645" s="23" t="s">
        <x:v>620</x:v>
      </x:c>
      <x:c r="H645" s="142">
        <x:v>46402</x:v>
      </x:c>
      <x:c r="I645" s="124">
        <x:v>20.120000000000001</x:v>
      </x:c>
      <x:c r="J645" s="125"/>
      <x:c r="K645" s="25"/>
      <x:c r="L645" s="127"/>
      <x:c r="M645" s="127"/>
    </x:row>
    <x:row r="646" spans="1:13" ht="22.050000000000001">
      <x:c r="A646" s="42" t="s">
        <x:v>764</x:v>
      </x:c>
      <x:c r="B646" s="42" t="s">
        <x:v>533</x:v>
      </x:c>
      <x:c r="C646" s="134" t="s">
        <x:v>636</x:v>
      </x:c>
      <x:c r="D646" s="134" t="s">
        <x:v>618</x:v>
      </x:c>
      <x:c r="E646" s="164">
        <x:v>9</x:v>
      </x:c>
      <x:c r="F646" s="42" t="s">
        <x:v>126</x:v>
      </x:c>
      <x:c r="G646" s="42" t="s">
        <x:v>664</x:v>
      </x:c>
      <x:c r="H646" s="148">
        <x:v>46383</x:v>
      </x:c>
      <x:c r="I646" s="134">
        <x:v>16.710000000000001</x:v>
      </x:c>
      <x:c r="J646" s="127"/>
      <x:c r="K646" s="22"/>
      <x:c r="L646" s="125"/>
      <x:c r="M646" s="127" t="b">
        <x:v>1</x:v>
      </x:c>
    </x:row>
    <x:row r="647" spans="1:13" ht="22.050000000000001">
      <x:c r="A647" s="43" t="s">
        <x:v>764</x:v>
      </x:c>
      <x:c r="B647" s="43" t="s">
        <x:v>533</x:v>
      </x:c>
      <x:c r="C647" s="135" t="s">
        <x:v>636</x:v>
      </x:c>
      <x:c r="D647" s="135" t="s">
        <x:v>618</x:v>
      </x:c>
      <x:c r="E647" s="165">
        <x:v>180</x:v>
      </x:c>
      <x:c r="F647" s="43" t="s">
        <x:v>783</x:v>
      </x:c>
      <x:c r="G647" s="43" t="s">
        <x:v>664</x:v>
      </x:c>
      <x:c r="H647" s="149">
        <x:v>46399</x:v>
      </x:c>
      <x:c r="I647" s="135">
        <x:v>16.649999999999999</x:v>
      </x:c>
      <x:c r="J647" s="125"/>
      <x:c r="K647" s="25"/>
      <x:c r="L647" s="127"/>
      <x:c r="M647" s="127" t="b">
        <x:v>1</x:v>
      </x:c>
    </x:row>
    <x:row r="648" spans="1:13" ht="22.050000000000001">
      <x:c r="A648" s="42" t="s">
        <x:v>764</x:v>
      </x:c>
      <x:c r="B648" s="42" t="s">
        <x:v>533</x:v>
      </x:c>
      <x:c r="C648" s="134" t="s">
        <x:v>636</x:v>
      </x:c>
      <x:c r="D648" s="134" t="s">
        <x:v>618</x:v>
      </x:c>
      <x:c r="E648" s="164">
        <x:v>12</x:v>
      </x:c>
      <x:c r="F648" s="42" t="s">
        <x:v>221</x:v>
      </x:c>
      <x:c r="G648" s="42" t="s">
        <x:v>617</x:v>
      </x:c>
      <x:c r="H648" s="148">
        <x:v>46427</x:v>
      </x:c>
      <x:c r="I648" s="134">
        <x:v>16.879999999999999</x:v>
      </x:c>
      <x:c r="J648" s="127"/>
      <x:c r="K648" s="22"/>
      <x:c r="L648" s="127"/>
      <x:c r="M648" s="127" t="b">
        <x:v>1</x:v>
      </x:c>
    </x:row>
    <x:row r="649" spans="1:13" ht="22.050000000000001">
      <x:c r="A649" s="43" t="s">
        <x:v>764</x:v>
      </x:c>
      <x:c r="B649" s="43" t="s">
        <x:v>533</x:v>
      </x:c>
      <x:c r="C649" s="135" t="s">
        <x:v>636</x:v>
      </x:c>
      <x:c r="D649" s="135" t="s">
        <x:v>618</x:v>
      </x:c>
      <x:c r="E649" s="165">
        <x:v>64</x:v>
      </x:c>
      <x:c r="F649" s="43" t="s">
        <x:v>221</x:v>
      </x:c>
      <x:c r="G649" s="43" t="s">
        <x:v>620</x:v>
      </x:c>
      <x:c r="H649" s="149">
        <x:v>46427</x:v>
      </x:c>
      <x:c r="I649" s="135">
        <x:v>16.879999999999999</x:v>
      </x:c>
      <x:c r="J649" s="125"/>
      <x:c r="K649" s="25"/>
      <x:c r="L649" s="127"/>
      <x:c r="M649" s="127" t="b">
        <x:v>1</x:v>
      </x:c>
    </x:row>
    <x:row r="650" spans="1:13" ht="22.050000000000001">
      <x:c r="A650" s="42" t="s">
        <x:v>764</x:v>
      </x:c>
      <x:c r="B650" s="42" t="s">
        <x:v>533</x:v>
      </x:c>
      <x:c r="C650" s="134" t="s">
        <x:v>636</x:v>
      </x:c>
      <x:c r="D650" s="134" t="s">
        <x:v>635</x:v>
      </x:c>
      <x:c r="E650" s="164">
        <x:v>7</x:v>
      </x:c>
      <x:c r="F650" s="42" t="s">
        <x:v>133</x:v>
      </x:c>
      <x:c r="G650" s="42" t="s">
        <x:v>664</x:v>
      </x:c>
      <x:c r="H650" s="148">
        <x:v>46529</x:v>
      </x:c>
      <x:c r="I650" s="134">
        <x:v>18.34</x:v>
      </x:c>
      <x:c r="J650" s="127"/>
      <x:c r="K650" s="22"/>
      <x:c r="L650" s="127"/>
      <x:c r="M650" s="127" t="b">
        <x:v>1</x:v>
      </x:c>
    </x:row>
    <x:row r="651" spans="1:13" ht="22.050000000000001">
      <x:c r="A651" s="43" t="s">
        <x:v>764</x:v>
      </x:c>
      <x:c r="B651" s="43" t="s">
        <x:v>533</x:v>
      </x:c>
      <x:c r="C651" s="135" t="s">
        <x:v>636</x:v>
      </x:c>
      <x:c r="D651" s="135" t="s">
        <x:v>670</x:v>
      </x:c>
      <x:c r="E651" s="165">
        <x:v>18</x:v>
      </x:c>
      <x:c r="F651" s="43" t="s">
        <x:v>17</x:v>
      </x:c>
      <x:c r="G651" s="43" t="s">
        <x:v>652</x:v>
      </x:c>
      <x:c r="H651" s="149">
        <x:v>46562</x:v>
      </x:c>
      <x:c r="I651" s="135">
        <x:v>17.98</x:v>
      </x:c>
      <x:c r="J651" s="125"/>
      <x:c r="K651" s="25"/>
      <x:c r="L651" s="127"/>
      <x:c r="M651" s="127" t="b">
        <x:v>1</x:v>
      </x:c>
    </x:row>
    <x:row r="652" spans="1:13" ht="22.050000000000001">
      <x:c r="A652" s="42" t="s">
        <x:v>764</x:v>
      </x:c>
      <x:c r="B652" s="42" t="s">
        <x:v>533</x:v>
      </x:c>
      <x:c r="C652" s="134" t="s">
        <x:v>636</x:v>
      </x:c>
      <x:c r="D652" s="134" t="s">
        <x:v>670</x:v>
      </x:c>
      <x:c r="E652" s="164">
        <x:v>20</x:v>
      </x:c>
      <x:c r="F652" s="42" t="s">
        <x:v>17</x:v>
      </x:c>
      <x:c r="G652" s="42" t="s">
        <x:v>652</x:v>
      </x:c>
      <x:c r="H652" s="148">
        <x:v>46562</x:v>
      </x:c>
      <x:c r="I652" s="134">
        <x:v>17.940000000000001</x:v>
      </x:c>
      <x:c r="J652" s="127"/>
      <x:c r="K652" s="22"/>
      <x:c r="L652" s="127"/>
      <x:c r="M652" s="127" t="b">
        <x:v>1</x:v>
      </x:c>
    </x:row>
    <x:row r="653" spans="1:13" ht="22.050000000000001">
      <x:c r="A653" s="43" t="s">
        <x:v>764</x:v>
      </x:c>
      <x:c r="B653" s="43" t="s">
        <x:v>533</x:v>
      </x:c>
      <x:c r="C653" s="135" t="s">
        <x:v>636</x:v>
      </x:c>
      <x:c r="D653" s="135" t="s">
        <x:v>670</x:v>
      </x:c>
      <x:c r="E653" s="165">
        <x:v>30</x:v>
      </x:c>
      <x:c r="F653" s="43" t="s">
        <x:v>17</x:v>
      </x:c>
      <x:c r="G653" s="43" t="s">
        <x:v>652</x:v>
      </x:c>
      <x:c r="H653" s="149">
        <x:v>46562</x:v>
      </x:c>
      <x:c r="I653" s="135">
        <x:v>17.940000000000001</x:v>
      </x:c>
      <x:c r="J653" s="125"/>
      <x:c r="K653" s="25"/>
      <x:c r="L653" s="127"/>
      <x:c r="M653" s="127" t="b">
        <x:v>1</x:v>
      </x:c>
    </x:row>
    <x:row r="654" spans="1:13" ht="22.050000000000001">
      <x:c r="A654" s="42" t="s">
        <x:v>764</x:v>
      </x:c>
      <x:c r="B654" s="42" t="s">
        <x:v>533</x:v>
      </x:c>
      <x:c r="C654" s="134" t="s">
        <x:v>636</x:v>
      </x:c>
      <x:c r="D654" s="134" t="s">
        <x:v>670</x:v>
      </x:c>
      <x:c r="E654" s="164">
        <x:v>31</x:v>
      </x:c>
      <x:c r="F654" s="42" t="s">
        <x:v>17</x:v>
      </x:c>
      <x:c r="G654" s="42" t="s">
        <x:v>652</x:v>
      </x:c>
      <x:c r="H654" s="148">
        <x:v>46562</x:v>
      </x:c>
      <x:c r="I654" s="134">
        <x:v>17.940000000000001</x:v>
      </x:c>
      <x:c r="J654" s="127"/>
      <x:c r="K654" s="22"/>
      <x:c r="L654" s="127"/>
      <x:c r="M654" s="127" t="b">
        <x:v>1</x:v>
      </x:c>
    </x:row>
    <x:row r="655" spans="1:13" ht="22.050000000000001">
      <x:c r="A655" s="25" t="s">
        <x:v>764</x:v>
      </x:c>
      <x:c r="B655" s="25" t="s">
        <x:v>533</x:v>
      </x:c>
      <x:c r="C655" s="125" t="s">
        <x:v>636</x:v>
      </x:c>
      <x:c r="D655" s="125" t="s">
        <x:v>670</x:v>
      </x:c>
      <x:c r="E655" s="159">
        <x:v>62</x:v>
      </x:c>
      <x:c r="F655" s="25" t="s">
        <x:v>17</x:v>
      </x:c>
      <x:c r="G655" s="25" t="s">
        <x:v>652</x:v>
      </x:c>
      <x:c r="H655" s="143">
        <x:v>46562</x:v>
      </x:c>
      <x:c r="I655" s="125">
        <x:v>17.940000000000001</x:v>
      </x:c>
      <x:c r="J655" s="125"/>
      <x:c r="K655" s="25" t="s">
        <x:v>595</x:v>
      </x:c>
      <x:c r="L655" s="127"/>
      <x:c r="M655" s="127"/>
    </x:row>
    <x:row r="656" spans="1:13" ht="22.050000000000001">
      <x:c r="A656" s="42" t="s">
        <x:v>764</x:v>
      </x:c>
      <x:c r="B656" s="42" t="s">
        <x:v>533</x:v>
      </x:c>
      <x:c r="C656" s="134" t="s">
        <x:v>636</x:v>
      </x:c>
      <x:c r="D656" s="134" t="s">
        <x:v>670</x:v>
      </x:c>
      <x:c r="E656" s="164">
        <x:v>100</x:v>
      </x:c>
      <x:c r="F656" s="42" t="s">
        <x:v>17</x:v>
      </x:c>
      <x:c r="G656" s="42" t="s">
        <x:v>652</x:v>
      </x:c>
      <x:c r="H656" s="148">
        <x:v>46562</x:v>
      </x:c>
      <x:c r="I656" s="134">
        <x:v>17.940000000000001</x:v>
      </x:c>
      <x:c r="J656" s="134"/>
      <x:c r="K656" s="22"/>
      <x:c r="L656" s="134"/>
      <x:c r="M656" s="127" t="b">
        <x:v>1</x:v>
      </x:c>
    </x:row>
    <x:row r="657" spans="1:13" ht="22.050000000000001">
      <x:c r="A657" s="43" t="s">
        <x:v>764</x:v>
      </x:c>
      <x:c r="B657" s="43" t="s">
        <x:v>533</x:v>
      </x:c>
      <x:c r="C657" s="135" t="s">
        <x:v>636</x:v>
      </x:c>
      <x:c r="D657" s="135" t="s">
        <x:v>618</x:v>
      </x:c>
      <x:c r="E657" s="165">
        <x:v>46</x:v>
      </x:c>
      <x:c r="F657" s="43" t="s">
        <x:v>788</x:v>
      </x:c>
      <x:c r="G657" s="43" t="s">
        <x:v>652</x:v>
      </x:c>
      <x:c r="H657" s="149">
        <x:v>46620</x:v>
      </x:c>
      <x:c r="I657" s="135">
        <x:v>17.300000000000001</x:v>
      </x:c>
      <x:c r="J657" s="135"/>
      <x:c r="K657" s="25"/>
      <x:c r="L657" s="134"/>
      <x:c r="M657" s="127" t="b">
        <x:v>1</x:v>
      </x:c>
    </x:row>
    <x:row r="658" spans="1:13" ht="22.050000000000001">
      <x:c r="A658" s="42" t="s">
        <x:v>764</x:v>
      </x:c>
      <x:c r="B658" s="42" t="s">
        <x:v>533</x:v>
      </x:c>
      <x:c r="C658" s="134" t="s">
        <x:v>636</x:v>
      </x:c>
      <x:c r="D658" s="134" t="s">
        <x:v>618</x:v>
      </x:c>
      <x:c r="E658" s="164">
        <x:v>13</x:v>
      </x:c>
      <x:c r="F658" s="42" t="s">
        <x:v>17</x:v>
      </x:c>
      <x:c r="G658" s="42" t="s">
        <x:v>652</x:v>
      </x:c>
      <x:c r="H658" s="148">
        <x:v>46660</x:v>
      </x:c>
      <x:c r="I658" s="134">
        <x:v>16.859999999999999</x:v>
      </x:c>
      <x:c r="J658" s="127"/>
      <x:c r="K658" s="22"/>
      <x:c r="L658" s="127"/>
      <x:c r="M658" s="127" t="b">
        <x:v>1</x:v>
      </x:c>
    </x:row>
    <x:row r="659" spans="1:13" ht="22.050000000000001">
      <x:c r="A659" s="43" t="s">
        <x:v>764</x:v>
      </x:c>
      <x:c r="B659" s="43" t="s">
        <x:v>533</x:v>
      </x:c>
      <x:c r="C659" s="135" t="s">
        <x:v>636</x:v>
      </x:c>
      <x:c r="D659" s="135" t="s">
        <x:v>618</x:v>
      </x:c>
      <x:c r="E659" s="165">
        <x:v>16</x:v>
      </x:c>
      <x:c r="F659" s="43" t="s">
        <x:v>17</x:v>
      </x:c>
      <x:c r="G659" s="43" t="s">
        <x:v>652</x:v>
      </x:c>
      <x:c r="H659" s="149">
        <x:v>46660</x:v>
      </x:c>
      <x:c r="I659" s="135">
        <x:v>16.859999999999999</x:v>
      </x:c>
      <x:c r="J659" s="125"/>
      <x:c r="K659" s="25"/>
      <x:c r="L659" s="127"/>
      <x:c r="M659" s="127" t="b">
        <x:v>1</x:v>
      </x:c>
    </x:row>
    <x:row r="660" spans="1:13" ht="22.050000000000001">
      <x:c r="A660" s="22" t="s">
        <x:v>764</x:v>
      </x:c>
      <x:c r="B660" s="22" t="s">
        <x:v>533</x:v>
      </x:c>
      <x:c r="C660" s="127" t="s">
        <x:v>636</x:v>
      </x:c>
      <x:c r="D660" s="127" t="s">
        <x:v>618</x:v>
      </x:c>
      <x:c r="E660" s="160">
        <x:v>25</x:v>
      </x:c>
      <x:c r="F660" s="22" t="s">
        <x:v>17</x:v>
      </x:c>
      <x:c r="G660" s="22" t="s">
        <x:v>652</x:v>
      </x:c>
      <x:c r="H660" s="144">
        <x:v>46660</x:v>
      </x:c>
      <x:c r="I660" s="127">
        <x:v>16.859999999999999</x:v>
      </x:c>
      <x:c r="J660" s="127"/>
      <x:c r="K660" s="22" t="s">
        <x:v>595</x:v>
      </x:c>
      <x:c r="L660" s="127"/>
      <x:c r="M660" s="127"/>
    </x:row>
    <x:row r="661" spans="1:13" ht="22.050000000000001">
      <x:c r="A661" s="43" t="s">
        <x:v>764</x:v>
      </x:c>
      <x:c r="B661" s="43" t="s">
        <x:v>533</x:v>
      </x:c>
      <x:c r="C661" s="135" t="s">
        <x:v>636</x:v>
      </x:c>
      <x:c r="D661" s="135" t="s">
        <x:v>618</x:v>
      </x:c>
      <x:c r="E661" s="165">
        <x:v>30</x:v>
      </x:c>
      <x:c r="F661" s="43" t="s">
        <x:v>17</x:v>
      </x:c>
      <x:c r="G661" s="43" t="s">
        <x:v>652</x:v>
      </x:c>
      <x:c r="H661" s="149">
        <x:v>46660</x:v>
      </x:c>
      <x:c r="I661" s="135">
        <x:v>16.859999999999999</x:v>
      </x:c>
      <x:c r="J661" s="125"/>
      <x:c r="K661" s="25"/>
      <x:c r="L661" s="127"/>
      <x:c r="M661" s="127" t="b">
        <x:v>1</x:v>
      </x:c>
    </x:row>
    <x:row r="662" spans="1:13" ht="22.050000000000001">
      <x:c r="A662" s="22" t="s">
        <x:v>764</x:v>
      </x:c>
      <x:c r="B662" s="22" t="s">
        <x:v>533</x:v>
      </x:c>
      <x:c r="C662" s="127" t="s">
        <x:v>636</x:v>
      </x:c>
      <x:c r="D662" s="127" t="s">
        <x:v>618</x:v>
      </x:c>
      <x:c r="E662" s="160">
        <x:v>37</x:v>
      </x:c>
      <x:c r="F662" s="22" t="s">
        <x:v>17</x:v>
      </x:c>
      <x:c r="G662" s="22" t="s">
        <x:v>652</x:v>
      </x:c>
      <x:c r="H662" s="144">
        <x:v>46660</x:v>
      </x:c>
      <x:c r="I662" s="127">
        <x:v>16.859999999999999</x:v>
      </x:c>
      <x:c r="J662" s="127"/>
      <x:c r="K662" s="22" t="s">
        <x:v>595</x:v>
      </x:c>
      <x:c r="L662" s="127"/>
      <x:c r="M662" s="127"/>
    </x:row>
    <x:row r="663" spans="1:13" ht="22.050000000000001">
      <x:c r="A663" s="43" t="s">
        <x:v>764</x:v>
      </x:c>
      <x:c r="B663" s="43" t="s">
        <x:v>678</x:v>
      </x:c>
      <x:c r="C663" s="135" t="s">
        <x:v>627</x:v>
      </x:c>
      <x:c r="D663" s="135" t="s">
        <x:v>601</x:v>
      </x:c>
      <x:c r="E663" s="165">
        <x:v>8</x:v>
      </x:c>
      <x:c r="F663" s="43" t="s">
        <x:v>179</x:v>
      </x:c>
      <x:c r="G663" s="43" t="s">
        <x:v>617</x:v>
      </x:c>
      <x:c r="H663" s="149">
        <x:v>46457</x:v>
      </x:c>
      <x:c r="I663" s="135">
        <x:v>19.109999999999999</x:v>
      </x:c>
      <x:c r="J663" s="125"/>
      <x:c r="K663" s="25"/>
      <x:c r="L663" s="127"/>
      <x:c r="M663" s="127" t="b">
        <x:v>1</x:v>
      </x:c>
    </x:row>
    <x:row r="664" spans="1:13" ht="22.050000000000001">
      <x:c r="A664" s="42" t="s">
        <x:v>764</x:v>
      </x:c>
      <x:c r="B664" s="42" t="s">
        <x:v>678</x:v>
      </x:c>
      <x:c r="C664" s="134" t="s">
        <x:v>627</x:v>
      </x:c>
      <x:c r="D664" s="134" t="s">
        <x:v>601</x:v>
      </x:c>
      <x:c r="E664" s="164">
        <x:v>17</x:v>
      </x:c>
      <x:c r="F664" s="42" t="s">
        <x:v>179</x:v>
      </x:c>
      <x:c r="G664" s="42" t="s">
        <x:v>579</x:v>
      </x:c>
      <x:c r="H664" s="148">
        <x:v>46457</x:v>
      </x:c>
      <x:c r="I664" s="134">
        <x:v>19.109999999999999</x:v>
      </x:c>
      <x:c r="J664" s="127"/>
      <x:c r="K664" s="22"/>
      <x:c r="L664" s="127"/>
      <x:c r="M664" s="127" t="b">
        <x:v>1</x:v>
      </x:c>
    </x:row>
    <x:row r="665" spans="1:13" ht="22.050000000000001">
      <x:c r="A665" s="25" t="s">
        <x:v>764</x:v>
      </x:c>
      <x:c r="B665" s="25" t="s">
        <x:v>1014</x:v>
      </x:c>
      <x:c r="C665" s="125" t="s">
        <x:v>616</x:v>
      </x:c>
      <x:c r="D665" s="125" t="s">
        <x:v>596</x:v>
      </x:c>
      <x:c r="E665" s="159">
        <x:v>19</x:v>
      </x:c>
      <x:c r="F665" s="25" t="s">
        <x:v>147</x:v>
      </x:c>
      <x:c r="G665" s="25" t="s">
        <x:v>617</x:v>
      </x:c>
      <x:c r="H665" s="143">
        <x:v>46238</x:v>
      </x:c>
      <x:c r="I665" s="125">
        <x:v>15.710000000000001</x:v>
      </x:c>
      <x:c r="J665" s="125"/>
      <x:c r="K665" s="25" t="s">
        <x:v>1102</x:v>
      </x:c>
      <x:c r="L665" s="127"/>
      <x:c r="M665" s="127"/>
    </x:row>
    <x:row r="666" spans="1:13" ht="22.050000000000001">
      <x:c r="A666" s="22" t="s">
        <x:v>764</x:v>
      </x:c>
      <x:c r="B666" s="22" t="s">
        <x:v>1014</x:v>
      </x:c>
      <x:c r="C666" s="127" t="s">
        <x:v>616</x:v>
      </x:c>
      <x:c r="D666" s="127" t="s">
        <x:v>596</x:v>
      </x:c>
      <x:c r="E666" s="160">
        <x:v>30</x:v>
      </x:c>
      <x:c r="F666" s="22" t="s">
        <x:v>147</x:v>
      </x:c>
      <x:c r="G666" s="22" t="s">
        <x:v>617</x:v>
      </x:c>
      <x:c r="H666" s="144">
        <x:v>46238</x:v>
      </x:c>
      <x:c r="I666" s="127">
        <x:v>15.710000000000001</x:v>
      </x:c>
      <x:c r="J666" s="127"/>
      <x:c r="K666" s="22" t="s">
        <x:v>1102</x:v>
      </x:c>
      <x:c r="L666" s="127"/>
      <x:c r="M666" s="127"/>
    </x:row>
    <x:row r="667" spans="1:13" ht="22.050000000000001">
      <x:c r="A667" s="23" t="s">
        <x:v>764</x:v>
      </x:c>
      <x:c r="B667" s="23" t="s">
        <x:v>1096</x:v>
      </x:c>
      <x:c r="C667" s="124" t="s">
        <x:v>616</x:v>
      </x:c>
      <x:c r="D667" s="124" t="s">
        <x:v>596</x:v>
      </x:c>
      <x:c r="E667" s="158">
        <x:v>10</x:v>
      </x:c>
      <x:c r="F667" s="23" t="s">
        <x:v>205</x:v>
      </x:c>
      <x:c r="G667" s="23" t="s">
        <x:v>349</x:v>
      </x:c>
      <x:c r="H667" s="142">
        <x:v>46401</x:v>
      </x:c>
      <x:c r="I667" s="124">
        <x:v>14.67</x:v>
      </x:c>
      <x:c r="J667" s="125"/>
      <x:c r="K667" s="25"/>
      <x:c r="L667" s="127"/>
      <x:c r="M667" s="127"/>
    </x:row>
    <x:row r="668" spans="1:13" ht="22.050000000000001">
      <x:c r="A668" s="22" t="s">
        <x:v>764</x:v>
      </x:c>
      <x:c r="B668" s="22" t="s">
        <x:v>762</x:v>
      </x:c>
      <x:c r="C668" s="127" t="s">
        <x:v>636</x:v>
      </x:c>
      <x:c r="D668" s="127">
        <x:v>88175</x:v>
      </x:c>
      <x:c r="E668" s="160">
        <x:v>49</x:v>
      </x:c>
      <x:c r="F668" s="22" t="s">
        <x:v>793</x:v>
      </x:c>
      <x:c r="G668" s="22" t="s">
        <x:v>617</x:v>
      </x:c>
      <x:c r="H668" s="144">
        <x:v>46447</x:v>
      </x:c>
      <x:c r="I668" s="127">
        <x:v>10.710000000000001</x:v>
      </x:c>
      <x:c r="J668" s="127"/>
      <x:c r="K668" s="22"/>
      <x:c r="L668" s="127"/>
      <x:c r="M668" s="127"/>
    </x:row>
    <x:row r="669" spans="1:13" ht="22.050000000000001">
      <x:c r="A669" s="23" t="s">
        <x:v>764</x:v>
      </x:c>
      <x:c r="B669" s="23" t="s">
        <x:v>573</x:v>
      </x:c>
      <x:c r="C669" s="124" t="s">
        <x:v>627</x:v>
      </x:c>
      <x:c r="D669" s="124">
        <x:v>1311</x:v>
      </x:c>
      <x:c r="E669" s="158">
        <x:v>69</x:v>
      </x:c>
      <x:c r="F669" s="23" t="s">
        <x:v>132</x:v>
      </x:c>
      <x:c r="G669" s="23" t="s">
        <x:v>349</x:v>
      </x:c>
      <x:c r="H669" s="142">
        <x:v>46585</x:v>
      </x:c>
      <x:c r="I669" s="124">
        <x:v>17.739999999999998</x:v>
      </x:c>
      <x:c r="J669" s="125"/>
      <x:c r="K669" s="25"/>
      <x:c r="L669" s="127"/>
      <x:c r="M669" s="127"/>
    </x:row>
    <x:row r="670" spans="1:13" ht="22.050000000000001">
      <x:c r="A670" s="20" t="s">
        <x:v>684</x:v>
      </x:c>
      <x:c r="B670" s="20" t="s">
        <x:v>651</x:v>
      </x:c>
      <x:c r="C670" s="123"/>
      <x:c r="D670" s="123">
        <x:v>732</x:v>
      </x:c>
      <x:c r="E670" s="157">
        <x:v>15</x:v>
      </x:c>
      <x:c r="F670" s="20" t="s">
        <x:v>131</x:v>
      </x:c>
      <x:c r="G670" s="20" t="s">
        <x:v>617</x:v>
      </x:c>
      <x:c r="H670" s="141">
        <x:v>46478</x:v>
      </x:c>
      <x:c r="I670" s="123">
        <x:v>7.7800000000000002</x:v>
      </x:c>
      <x:c r="J670" s="127"/>
      <x:c r="K670" s="22"/>
      <x:c r="L670" s="127"/>
      <x:c r="M670" s="127"/>
    </x:row>
    <x:row r="671" spans="1:13" ht="22.050000000000001">
      <x:c r="A671" s="23" t="s">
        <x:v>684</x:v>
      </x:c>
      <x:c r="B671" s="23" t="s">
        <x:v>383</x:v>
      </x:c>
      <x:c r="C671" s="124"/>
      <x:c r="D671" s="124">
        <x:v>712</x:v>
      </x:c>
      <x:c r="E671" s="158">
        <x:v>20</x:v>
      </x:c>
      <x:c r="F671" s="23" t="s">
        <x:v>803</x:v>
      </x:c>
      <x:c r="G671" s="23" t="s">
        <x:v>617</x:v>
      </x:c>
      <x:c r="H671" s="142">
        <x:v>6716050</x:v>
      </x:c>
      <x:c r="I671" s="124">
        <x:v>9.9000000000000004</x:v>
      </x:c>
      <x:c r="J671" s="125"/>
      <x:c r="K671" s="25"/>
      <x:c r="L671" s="127"/>
      <x:c r="M671" s="127"/>
    </x:row>
    <x:row r="672" spans="1:13" ht="22.050000000000001">
      <x:c r="A672" s="20" t="s">
        <x:v>688</x:v>
      </x:c>
      <x:c r="B672" s="20" t="s">
        <x:v>693</x:v>
      </x:c>
      <x:c r="C672" s="123" t="s">
        <x:v>667</x:v>
      </x:c>
      <x:c r="D672" s="123">
        <x:v>235</x:v>
      </x:c>
      <x:c r="E672" s="157">
        <x:v>3</x:v>
      </x:c>
      <x:c r="F672" s="20" t="s">
        <x:v>157</x:v>
      </x:c>
      <x:c r="G672" s="20" t="s">
        <x:v>349</x:v>
      </x:c>
      <x:c r="H672" s="141">
        <x:v>46646</x:v>
      </x:c>
      <x:c r="I672" s="123">
        <x:v>20.920000000000002</x:v>
      </x:c>
      <x:c r="J672" s="127"/>
      <x:c r="K672" s="22"/>
      <x:c r="L672" s="127"/>
      <x:c r="M672" s="127"/>
    </x:row>
    <x:row r="673" spans="1:13" ht="22.050000000000001">
      <x:c r="A673" s="23" t="s">
        <x:v>688</x:v>
      </x:c>
      <x:c r="B673" s="23" t="s">
        <x:v>693</x:v>
      </x:c>
      <x:c r="C673" s="124" t="s">
        <x:v>667</x:v>
      </x:c>
      <x:c r="D673" s="124">
        <x:v>235</x:v>
      </x:c>
      <x:c r="E673" s="158">
        <x:v>7</x:v>
      </x:c>
      <x:c r="F673" s="23" t="s">
        <x:v>157</x:v>
      </x:c>
      <x:c r="G673" s="23" t="s">
        <x:v>349</x:v>
      </x:c>
      <x:c r="H673" s="142">
        <x:v>46646</x:v>
      </x:c>
      <x:c r="I673" s="124">
        <x:v>23.25</x:v>
      </x:c>
      <x:c r="J673" s="125"/>
      <x:c r="K673" s="25"/>
      <x:c r="L673" s="127"/>
      <x:c r="M673" s="127"/>
    </x:row>
    <x:row r="674" spans="1:13" ht="22.050000000000001">
      <x:c r="A674" s="20" t="s">
        <x:v>688</x:v>
      </x:c>
      <x:c r="B674" s="20" t="s">
        <x:v>693</x:v>
      </x:c>
      <x:c r="C674" s="123" t="s">
        <x:v>667</x:v>
      </x:c>
      <x:c r="D674" s="123">
        <x:v>235</x:v>
      </x:c>
      <x:c r="E674" s="157">
        <x:v>27</x:v>
      </x:c>
      <x:c r="F674" s="20" t="s">
        <x:v>157</x:v>
      </x:c>
      <x:c r="G674" s="20" t="s">
        <x:v>617</x:v>
      </x:c>
      <x:c r="H674" s="141">
        <x:v>46646</x:v>
      </x:c>
      <x:c r="I674" s="123">
        <x:v>23.25</x:v>
      </x:c>
      <x:c r="J674" s="127"/>
      <x:c r="K674" s="22"/>
      <x:c r="L674" s="127"/>
      <x:c r="M674" s="127"/>
    </x:row>
    <x:row r="675" spans="1:13" ht="22.050000000000001">
      <x:c r="A675" s="25" t="s">
        <x:v>688</x:v>
      </x:c>
      <x:c r="B675" s="25" t="s">
        <x:v>362</x:v>
      </x:c>
      <x:c r="C675" s="125" t="s">
        <x:v>667</x:v>
      </x:c>
      <x:c r="D675" s="125">
        <x:v>640</x:v>
      </x:c>
      <x:c r="E675" s="159">
        <x:v>0</x:v>
      </x:c>
      <x:c r="F675" s="25" t="s">
        <x:v>121</x:v>
      </x:c>
      <x:c r="G675" s="25" t="s">
        <x:v>617</x:v>
      </x:c>
      <x:c r="H675" s="143">
        <x:v>46805</x:v>
      </x:c>
      <x:c r="I675" s="125">
        <x:v>22.25</x:v>
      </x:c>
      <x:c r="J675" s="125">
        <x:v>46135</x:v>
      </x:c>
      <x:c r="K675" s="25" t="s">
        <x:v>299</x:v>
      </x:c>
      <x:c r="L675" s="125"/>
      <x:c r="M675" s="125"/>
    </x:row>
    <x:row r="676" spans="1:13" ht="22.050000000000001">
      <x:c r="A676" s="20" t="s">
        <x:v>688</x:v>
      </x:c>
      <x:c r="B676" s="30" t="s">
        <x:v>362</x:v>
      </x:c>
      <x:c r="C676" s="123" t="s">
        <x:v>667</x:v>
      </x:c>
      <x:c r="D676" s="123">
        <x:v>640</x:v>
      </x:c>
      <x:c r="E676" s="157">
        <x:v>35</x:v>
      </x:c>
      <x:c r="F676" s="20" t="s">
        <x:v>121</x:v>
      </x:c>
      <x:c r="G676" s="20" t="s">
        <x:v>617</x:v>
      </x:c>
      <x:c r="H676" s="141">
        <x:v>46805</x:v>
      </x:c>
      <x:c r="I676" s="123">
        <x:v>22.25</x:v>
      </x:c>
      <x:c r="J676" s="127"/>
      <x:c r="K676" s="22"/>
      <x:c r="L676" s="127"/>
      <x:c r="M676" s="127"/>
    </x:row>
    <x:row r="677" spans="1:13" ht="22.050000000000001">
      <x:c r="A677" s="23" t="s">
        <x:v>688</x:v>
      </x:c>
      <x:c r="B677" s="31" t="s">
        <x:v>362</x:v>
      </x:c>
      <x:c r="C677" s="124" t="s">
        <x:v>667</x:v>
      </x:c>
      <x:c r="D677" s="124">
        <x:v>640</x:v>
      </x:c>
      <x:c r="E677" s="158">
        <x:v>128</x:v>
      </x:c>
      <x:c r="F677" s="23" t="s">
        <x:v>121</x:v>
      </x:c>
      <x:c r="G677" s="23" t="s">
        <x:v>290</x:v>
      </x:c>
      <x:c r="H677" s="142">
        <x:v>46805</x:v>
      </x:c>
      <x:c r="I677" s="124">
        <x:v>22.25</x:v>
      </x:c>
      <x:c r="J677" s="125"/>
      <x:c r="K677" s="25"/>
      <x:c r="L677" s="127"/>
      <x:c r="M677" s="127"/>
    </x:row>
    <x:row r="678" spans="1:13" ht="22.050000000000001">
      <x:c r="A678" s="20" t="s">
        <x:v>688</x:v>
      </x:c>
      <x:c r="B678" s="20" t="s">
        <x:v>311</x:v>
      </x:c>
      <x:c r="C678" s="123" t="s">
        <x:v>692</x:v>
      </x:c>
      <x:c r="D678" s="123">
        <x:v>291</x:v>
      </x:c>
      <x:c r="E678" s="157">
        <x:v>10</x:v>
      </x:c>
      <x:c r="F678" s="20" t="s">
        <x:v>141</x:v>
      </x:c>
      <x:c r="G678" s="20" t="s">
        <x:v>617</x:v>
      </x:c>
      <x:c r="H678" s="141">
        <x:v>46626</x:v>
      </x:c>
      <x:c r="I678" s="123">
        <x:v>20.649999999999999</x:v>
      </x:c>
      <x:c r="J678" s="127"/>
      <x:c r="K678" s="22"/>
      <x:c r="L678" s="127"/>
      <x:c r="M678" s="127"/>
    </x:row>
    <x:row r="679" spans="1:13" ht="22.050000000000001">
      <x:c r="A679" s="23" t="s">
        <x:v>688</x:v>
      </x:c>
      <x:c r="B679" s="23" t="s">
        <x:v>311</x:v>
      </x:c>
      <x:c r="C679" s="124" t="s">
        <x:v>692</x:v>
      </x:c>
      <x:c r="D679" s="124">
        <x:v>291</x:v>
      </x:c>
      <x:c r="E679" s="158">
        <x:v>47</x:v>
      </x:c>
      <x:c r="F679" s="23" t="s">
        <x:v>122</x:v>
      </x:c>
      <x:c r="G679" s="23" t="s">
        <x:v>652</x:v>
      </x:c>
      <x:c r="H679" s="142">
        <x:v>46723</x:v>
      </x:c>
      <x:c r="I679" s="124">
        <x:v>19.43</x:v>
      </x:c>
      <x:c r="J679" s="125"/>
      <x:c r="K679" s="25"/>
      <x:c r="L679" s="127"/>
      <x:c r="M679" s="127"/>
    </x:row>
    <x:row r="680" spans="1:13" ht="22.050000000000001">
      <x:c r="A680" s="20" t="s">
        <x:v>638</x:v>
      </x:c>
      <x:c r="B680" s="20" t="s">
        <x:v>533</x:v>
      </x:c>
      <x:c r="C680" s="123"/>
      <x:c r="D680" s="123" t="s">
        <x:v>670</x:v>
      </x:c>
      <x:c r="E680" s="157">
        <x:v>40</x:v>
      </x:c>
      <x:c r="F680" s="20" t="s">
        <x:v>152</x:v>
      </x:c>
      <x:c r="G680" s="20" t="s">
        <x:v>617</x:v>
      </x:c>
      <x:c r="H680" s="141">
        <x:v>46172</x:v>
      </x:c>
      <x:c r="I680" s="123">
        <x:v>6.7999999999999998</x:v>
      </x:c>
      <x:c r="J680" s="127"/>
      <x:c r="K680" s="22"/>
      <x:c r="L680" s="127"/>
      <x:c r="M680" s="127"/>
    </x:row>
    <x:row r="681" spans="1:13" ht="22.050000000000001">
      <x:c r="A681" s="23" t="s">
        <x:v>638</x:v>
      </x:c>
      <x:c r="B681" s="23" t="s">
        <x:v>533</x:v>
      </x:c>
      <x:c r="C681" s="124"/>
      <x:c r="D681" s="124" t="s">
        <x:v>670</x:v>
      </x:c>
      <x:c r="E681" s="158">
        <x:v>85</x:v>
      </x:c>
      <x:c r="F681" s="23" t="s">
        <x:v>152</x:v>
      </x:c>
      <x:c r="G681" s="23" t="s">
        <x:v>617</x:v>
      </x:c>
      <x:c r="H681" s="142">
        <x:v>46172</x:v>
      </x:c>
      <x:c r="I681" s="124">
        <x:v>6.7999999999999998</x:v>
      </x:c>
      <x:c r="J681" s="125"/>
      <x:c r="K681" s="25"/>
      <x:c r="L681" s="127"/>
      <x:c r="M681" s="127"/>
    </x:row>
    <x:row r="682" spans="1:13" ht="22.050000000000001">
      <x:c r="A682" s="30" t="s">
        <x:v>638</x:v>
      </x:c>
      <x:c r="B682" s="30" t="s">
        <x:v>533</x:v>
      </x:c>
      <x:c r="C682" s="123"/>
      <x:c r="D682" s="123" t="s">
        <x:v>625</x:v>
      </x:c>
      <x:c r="E682" s="157">
        <x:v>8</x:v>
      </x:c>
      <x:c r="F682" s="30" t="s">
        <x:v>790</x:v>
      </x:c>
      <x:c r="G682" s="30" t="s">
        <x:v>621</x:v>
      </x:c>
      <x:c r="H682" s="141">
        <x:v>46414</x:v>
      </x:c>
      <x:c r="I682" s="123">
        <x:v>6.7999999999999998</x:v>
      </x:c>
      <x:c r="J682" s="127"/>
      <x:c r="K682" s="22"/>
      <x:c r="L682" s="127"/>
      <x:c r="M682" s="127"/>
    </x:row>
    <x:row r="683" spans="1:13" ht="22.050000000000001">
      <x:c r="A683" s="31" t="s">
        <x:v>638</x:v>
      </x:c>
      <x:c r="B683" s="31" t="s">
        <x:v>533</x:v>
      </x:c>
      <x:c r="C683" s="124"/>
      <x:c r="D683" s="124" t="s">
        <x:v>625</x:v>
      </x:c>
      <x:c r="E683" s="158">
        <x:v>33</x:v>
      </x:c>
      <x:c r="F683" s="31" t="s">
        <x:v>790</x:v>
      </x:c>
      <x:c r="G683" s="31" t="s">
        <x:v>617</x:v>
      </x:c>
      <x:c r="H683" s="142">
        <x:v>46414</x:v>
      </x:c>
      <x:c r="I683" s="124">
        <x:v>6.7999999999999998</x:v>
      </x:c>
      <x:c r="J683" s="125"/>
      <x:c r="K683" s="25"/>
      <x:c r="L683" s="127"/>
      <x:c r="M683" s="127"/>
    </x:row>
    <x:row r="684" spans="1:13" ht="22.050000000000001">
      <x:c r="A684" s="30" t="s">
        <x:v>638</x:v>
      </x:c>
      <x:c r="B684" s="30" t="s">
        <x:v>533</x:v>
      </x:c>
      <x:c r="C684" s="123"/>
      <x:c r="D684" s="123" t="s">
        <x:v>625</x:v>
      </x:c>
      <x:c r="E684" s="157">
        <x:v>534</x:v>
      </x:c>
      <x:c r="F684" s="30" t="s">
        <x:v>790</x:v>
      </x:c>
      <x:c r="G684" s="30" t="s">
        <x:v>679</x:v>
      </x:c>
      <x:c r="H684" s="141">
        <x:v>46414</x:v>
      </x:c>
      <x:c r="I684" s="123">
        <x:v>6.7999999999999998</x:v>
      </x:c>
      <x:c r="J684" s="127"/>
      <x:c r="K684" s="22"/>
      <x:c r="L684" s="127"/>
      <x:c r="M684" s="127"/>
    </x:row>
    <x:row r="685" spans="1:13" ht="22.050000000000001">
      <x:c r="A685" s="31" t="s">
        <x:v>638</x:v>
      </x:c>
      <x:c r="B685" s="31" t="s">
        <x:v>533</x:v>
      </x:c>
      <x:c r="C685" s="124"/>
      <x:c r="D685" s="124" t="s">
        <x:v>625</x:v>
      </x:c>
      <x:c r="E685" s="158">
        <x:v>634</x:v>
      </x:c>
      <x:c r="F685" s="31" t="s">
        <x:v>163</x:v>
      </x:c>
      <x:c r="G685" s="31" t="s">
        <x:v>679</x:v>
      </x:c>
      <x:c r="H685" s="142">
        <x:v>46506</x:v>
      </x:c>
      <x:c r="I685" s="124">
        <x:v>6.7999999999999998</x:v>
      </x:c>
      <x:c r="J685" s="125"/>
      <x:c r="K685" s="25"/>
      <x:c r="L685" s="127"/>
      <x:c r="M685" s="127"/>
    </x:row>
    <x:row r="686" spans="1:13" ht="22.050000000000001">
      <x:c r="A686" s="20" t="s">
        <x:v>638</x:v>
      </x:c>
      <x:c r="B686" s="20" t="s">
        <x:v>533</x:v>
      </x:c>
      <x:c r="C686" s="123"/>
      <x:c r="D686" s="123" t="s">
        <x:v>635</x:v>
      </x:c>
      <x:c r="E686" s="157">
        <x:v>619</x:v>
      </x:c>
      <x:c r="F686" s="20" t="s">
        <x:v>808</x:v>
      </x:c>
      <x:c r="G686" s="20" t="s">
        <x:v>679</x:v>
      </x:c>
      <x:c r="H686" s="141">
        <x:v>46541</x:v>
      </x:c>
      <x:c r="I686" s="123">
        <x:v>6.7999999999999998</x:v>
      </x:c>
      <x:c r="J686" s="127"/>
      <x:c r="K686" s="22"/>
      <x:c r="L686" s="127"/>
      <x:c r="M686" s="127"/>
    </x:row>
    <x:row r="687" spans="1:13" ht="22.050000000000001">
      <x:c r="A687" s="23" t="s">
        <x:v>638</x:v>
      </x:c>
      <x:c r="B687" s="23" t="s">
        <x:v>533</x:v>
      </x:c>
      <x:c r="C687" s="124"/>
      <x:c r="D687" s="124" t="s">
        <x:v>635</x:v>
      </x:c>
      <x:c r="E687" s="158">
        <x:v>633</x:v>
      </x:c>
      <x:c r="F687" s="23" t="s">
        <x:v>180</x:v>
      </x:c>
      <x:c r="G687" s="23" t="s">
        <x:v>679</x:v>
      </x:c>
      <x:c r="H687" s="142">
        <x:v>46576</x:v>
      </x:c>
      <x:c r="I687" s="124">
        <x:v>6.7999999999999998</x:v>
      </x:c>
      <x:c r="J687" s="125"/>
      <x:c r="K687" s="25"/>
      <x:c r="L687" s="127"/>
      <x:c r="M687" s="127"/>
    </x:row>
    <x:row r="688" spans="1:13" ht="22.050000000000001">
      <x:c r="A688" s="50" t="s">
        <x:v>638</x:v>
      </x:c>
      <x:c r="B688" s="50" t="s">
        <x:v>533</x:v>
      </x:c>
      <x:c r="C688" s="138"/>
      <x:c r="D688" s="138" t="s">
        <x:v>625</x:v>
      </x:c>
      <x:c r="E688" s="168">
        <x:v>633</x:v>
      </x:c>
      <x:c r="F688" s="50" t="s">
        <x:v>168</x:v>
      </x:c>
      <x:c r="G688" s="50" t="s">
        <x:v>679</x:v>
      </x:c>
      <x:c r="H688" s="152">
        <x:v>46672</x:v>
      </x:c>
      <x:c r="I688" s="138">
        <x:v>6.7999999999999998</x:v>
      </x:c>
      <x:c r="J688" s="127"/>
      <x:c r="K688" s="22" t="s">
        <x:v>385</x:v>
      </x:c>
      <x:c r="L688" s="127"/>
      <x:c r="M688" s="127" t="b">
        <x:v>1</x:v>
      </x:c>
    </x:row>
    <x:row r="689" spans="1:13" ht="22.050000000000001">
      <x:c r="A689" s="43" t="s">
        <x:v>638</x:v>
      </x:c>
      <x:c r="B689" s="43" t="s">
        <x:v>533</x:v>
      </x:c>
      <x:c r="C689" s="135"/>
      <x:c r="D689" s="135" t="s">
        <x:v>635</x:v>
      </x:c>
      <x:c r="E689" s="165">
        <x:v>633</x:v>
      </x:c>
      <x:c r="F689" s="43" t="s">
        <x:v>792</x:v>
      </x:c>
      <x:c r="G689" s="43" t="s">
        <x:v>679</x:v>
      </x:c>
      <x:c r="H689" s="149">
        <x:v>46690</x:v>
      </x:c>
      <x:c r="I689" s="135">
        <x:v>6.7999999999999998</x:v>
      </x:c>
      <x:c r="J689" s="135"/>
      <x:c r="K689" s="25"/>
      <x:c r="L689" s="134"/>
      <x:c r="M689" s="127" t="b">
        <x:v>1</x:v>
      </x:c>
    </x:row>
    <x:row r="690" spans="1:13" ht="22.050000000000001">
      <x:c r="A690" s="30" t="s">
        <x:v>638</x:v>
      </x:c>
      <x:c r="B690" s="30" t="s">
        <x:v>573</x:v>
      </x:c>
      <x:c r="C690" s="123"/>
      <x:c r="D690" s="123">
        <x:v>628</x:v>
      </x:c>
      <x:c r="E690" s="157">
        <x:v>94</x:v>
      </x:c>
      <x:c r="F690" s="30" t="s">
        <x:v>204</x:v>
      </x:c>
      <x:c r="G690" s="20" t="s">
        <x:v>617</x:v>
      </x:c>
      <x:c r="H690" s="141">
        <x:v>46219</x:v>
      </x:c>
      <x:c r="I690" s="123">
        <x:v>9.9800000000000004</x:v>
      </x:c>
      <x:c r="J690" s="127"/>
      <x:c r="K690" s="22"/>
      <x:c r="L690" s="127"/>
      <x:c r="M690" s="127"/>
    </x:row>
    <x:row r="691" spans="1:13" ht="22.050000000000001">
      <x:c r="A691" s="31" t="s">
        <x:v>638</x:v>
      </x:c>
      <x:c r="B691" s="31" t="s">
        <x:v>573</x:v>
      </x:c>
      <x:c r="C691" s="124"/>
      <x:c r="D691" s="124">
        <x:v>628</x:v>
      </x:c>
      <x:c r="E691" s="158">
        <x:v>218</x:v>
      </x:c>
      <x:c r="F691" s="31" t="s">
        <x:v>204</x:v>
      </x:c>
      <x:c r="G691" s="31" t="s">
        <x:v>679</x:v>
      </x:c>
      <x:c r="H691" s="142">
        <x:v>46219</x:v>
      </x:c>
      <x:c r="I691" s="124">
        <x:v>9.9800000000000004</x:v>
      </x:c>
      <x:c r="J691" s="125"/>
      <x:c r="K691" s="25"/>
      <x:c r="L691" s="127"/>
      <x:c r="M691" s="127"/>
    </x:row>
    <x:row r="692" spans="1:13" ht="22.050000000000001">
      <x:c r="A692" s="20" t="s">
        <x:v>638</x:v>
      </x:c>
      <x:c r="B692" s="20" t="s">
        <x:v>573</x:v>
      </x:c>
      <x:c r="C692" s="123"/>
      <x:c r="D692" s="123" t="s">
        <x:v>685</x:v>
      </x:c>
      <x:c r="E692" s="157">
        <x:v>11</x:v>
      </x:c>
      <x:c r="F692" s="20" t="s">
        <x:v>130</x:v>
      </x:c>
      <x:c r="G692" s="20" t="s">
        <x:v>617</x:v>
      </x:c>
      <x:c r="H692" s="141">
        <x:v>46266</x:v>
      </x:c>
      <x:c r="I692" s="123">
        <x:v>9.9800000000000004</x:v>
      </x:c>
      <x:c r="J692" s="127"/>
      <x:c r="K692" s="22"/>
      <x:c r="L692" s="127"/>
      <x:c r="M692" s="127"/>
    </x:row>
    <x:row r="693" spans="1:13" ht="22.050000000000001">
      <x:c r="A693" s="31" t="s">
        <x:v>638</x:v>
      </x:c>
      <x:c r="B693" s="31" t="s">
        <x:v>573</x:v>
      </x:c>
      <x:c r="C693" s="124"/>
      <x:c r="D693" s="124" t="s">
        <x:v>685</x:v>
      </x:c>
      <x:c r="E693" s="158">
        <x:v>490</x:v>
      </x:c>
      <x:c r="F693" s="31" t="s">
        <x:v>137</x:v>
      </x:c>
      <x:c r="G693" s="31" t="s">
        <x:v>747</x:v>
      </x:c>
      <x:c r="H693" s="142">
        <x:v>46358</x:v>
      </x:c>
      <x:c r="I693" s="124">
        <x:v>9.9800000000000004</x:v>
      </x:c>
      <x:c r="J693" s="125"/>
      <x:c r="K693" s="25"/>
      <x:c r="L693" s="127"/>
      <x:c r="M693" s="127"/>
    </x:row>
    <x:row r="694" spans="1:13" ht="22.050000000000001">
      <x:c r="A694" s="30" t="s">
        <x:v>638</x:v>
      </x:c>
      <x:c r="B694" s="30" t="s">
        <x:v>573</x:v>
      </x:c>
      <x:c r="C694" s="123"/>
      <x:c r="D694" s="123" t="s">
        <x:v>685</x:v>
      </x:c>
      <x:c r="E694" s="157">
        <x:v>1000</x:v>
      </x:c>
      <x:c r="F694" s="30" t="s">
        <x:v>809</x:v>
      </x:c>
      <x:c r="G694" s="30" t="s">
        <x:v>747</x:v>
      </x:c>
      <x:c r="H694" s="141">
        <x:v>46392</x:v>
      </x:c>
      <x:c r="I694" s="123">
        <x:v>9.9800000000000004</x:v>
      </x:c>
      <x:c r="J694" s="127"/>
      <x:c r="K694" s="22"/>
      <x:c r="L694" s="127"/>
      <x:c r="M694" s="127"/>
    </x:row>
    <x:row r="695" spans="1:13" ht="22.050000000000001">
      <x:c r="A695" s="23" t="s">
        <x:v>638</x:v>
      </x:c>
      <x:c r="B695" s="23" t="s">
        <x:v>573</x:v>
      </x:c>
      <x:c r="C695" s="124"/>
      <x:c r="D695" s="124">
        <x:v>969</x:v>
      </x:c>
      <x:c r="E695" s="158">
        <x:v>40</x:v>
      </x:c>
      <x:c r="F695" s="23" t="s">
        <x:v>143</x:v>
      </x:c>
      <x:c r="G695" s="23" t="s">
        <x:v>679</x:v>
      </x:c>
      <x:c r="H695" s="142">
        <x:v>46413</x:v>
      </x:c>
      <x:c r="I695" s="124">
        <x:v>9.9800000000000004</x:v>
      </x:c>
      <x:c r="J695" s="125"/>
      <x:c r="K695" s="25"/>
      <x:c r="L695" s="127"/>
      <x:c r="M695" s="127"/>
    </x:row>
    <x:row r="696" spans="1:13" ht="22.050000000000001">
      <x:c r="A696" s="20" t="s">
        <x:v>638</x:v>
      </x:c>
      <x:c r="B696" s="20" t="s">
        <x:v>573</x:v>
      </x:c>
      <x:c r="C696" s="123"/>
      <x:c r="D696" s="123" t="s">
        <x:v>540</x:v>
      </x:c>
      <x:c r="E696" s="157">
        <x:v>45</x:v>
      </x:c>
      <x:c r="F696" s="20" t="s">
        <x:v>1091</x:v>
      </x:c>
      <x:c r="G696" s="20" t="s">
        <x:v>617</x:v>
      </x:c>
      <x:c r="H696" s="141">
        <x:v>46417</x:v>
      </x:c>
      <x:c r="I696" s="123">
        <x:v>9.9800000000000004</x:v>
      </x:c>
      <x:c r="J696" s="127"/>
      <x:c r="K696" s="22"/>
      <x:c r="L696" s="127"/>
      <x:c r="M696" s="127"/>
    </x:row>
    <x:row r="697" spans="1:13" ht="22.050000000000001">
      <x:c r="A697" s="23" t="s">
        <x:v>638</x:v>
      </x:c>
      <x:c r="B697" s="23" t="s">
        <x:v>573</x:v>
      </x:c>
      <x:c r="C697" s="124"/>
      <x:c r="D697" s="124" t="s">
        <x:v>540</x:v>
      </x:c>
      <x:c r="E697" s="158">
        <x:v>233</x:v>
      </x:c>
      <x:c r="F697" s="23" t="s">
        <x:v>1091</x:v>
      </x:c>
      <x:c r="G697" s="23" t="s">
        <x:v>679</x:v>
      </x:c>
      <x:c r="H697" s="142">
        <x:v>46417</x:v>
      </x:c>
      <x:c r="I697" s="124">
        <x:v>9.9800000000000004</x:v>
      </x:c>
      <x:c r="J697" s="125"/>
      <x:c r="K697" s="25"/>
      <x:c r="L697" s="127"/>
      <x:c r="M697" s="127"/>
    </x:row>
    <x:row r="698" spans="1:13" ht="22.050000000000001">
      <x:c r="A698" s="22" t="s">
        <x:v>638</x:v>
      </x:c>
      <x:c r="B698" s="22" t="s">
        <x:v>573</x:v>
      </x:c>
      <x:c r="C698" s="127"/>
      <x:c r="D698" s="127" t="s">
        <x:v>540</x:v>
      </x:c>
      <x:c r="E698" s="160">
        <x:v>6</x:v>
      </x:c>
      <x:c r="F698" s="22" t="s">
        <x:v>1091</x:v>
      </x:c>
      <x:c r="G698" s="22" t="s">
        <x:v>679</x:v>
      </x:c>
      <x:c r="H698" s="144">
        <x:v>46417</x:v>
      </x:c>
      <x:c r="I698" s="127">
        <x:v>9.9800000000000004</x:v>
      </x:c>
      <x:c r="J698" s="127">
        <x:v>46136</x:v>
      </x:c>
      <x:c r="K698" s="22" t="s">
        <x:v>399</x:v>
      </x:c>
      <x:c r="L698" s="125"/>
      <x:c r="M698" s="125"/>
    </x:row>
    <x:row r="699" spans="1:13" ht="22.050000000000001">
      <x:c r="A699" s="23" t="s">
        <x:v>638</x:v>
      </x:c>
      <x:c r="B699" s="23" t="s">
        <x:v>573</x:v>
      </x:c>
      <x:c r="C699" s="124"/>
      <x:c r="D699" s="124" t="s">
        <x:v>540</x:v>
      </x:c>
      <x:c r="E699" s="158">
        <x:v>409</x:v>
      </x:c>
      <x:c r="F699" s="23" t="s">
        <x:v>1089</x:v>
      </x:c>
      <x:c r="G699" s="23" t="s">
        <x:v>679</x:v>
      </x:c>
      <x:c r="H699" s="142">
        <x:v>46430</x:v>
      </x:c>
      <x:c r="I699" s="124">
        <x:v>9.9800000000000004</x:v>
      </x:c>
      <x:c r="J699" s="125"/>
      <x:c r="K699" s="25"/>
      <x:c r="L699" s="127"/>
      <x:c r="M699" s="127"/>
    </x:row>
    <x:row r="700" spans="1:13" ht="22.050000000000001">
      <x:c r="A700" s="30" t="s">
        <x:v>638</x:v>
      </x:c>
      <x:c r="B700" s="30" t="s">
        <x:v>573</x:v>
      </x:c>
      <x:c r="C700" s="123"/>
      <x:c r="D700" s="123" t="s">
        <x:v>540</x:v>
      </x:c>
      <x:c r="E700" s="157">
        <x:v>409</x:v>
      </x:c>
      <x:c r="F700" s="30" t="s">
        <x:v>1095</x:v>
      </x:c>
      <x:c r="G700" s="30" t="s">
        <x:v>679</x:v>
      </x:c>
      <x:c r="H700" s="141">
        <x:v>46445</x:v>
      </x:c>
      <x:c r="I700" s="123">
        <x:v>9.9800000000000004</x:v>
      </x:c>
      <x:c r="J700" s="127"/>
      <x:c r="K700" s="22"/>
      <x:c r="L700" s="127"/>
      <x:c r="M700" s="127"/>
    </x:row>
    <x:row r="701" spans="1:13" ht="22.050000000000001">
      <x:c r="A701" s="23" t="s">
        <x:v>638</x:v>
      </x:c>
      <x:c r="B701" s="23" t="s">
        <x:v>573</x:v>
      </x:c>
      <x:c r="C701" s="124"/>
      <x:c r="D701" s="124" t="s">
        <x:v>540</x:v>
      </x:c>
      <x:c r="E701" s="158">
        <x:v>409</x:v>
      </x:c>
      <x:c r="F701" s="23" t="s">
        <x:v>1088</x:v>
      </x:c>
      <x:c r="G701" s="31" t="s">
        <x:v>679</x:v>
      </x:c>
      <x:c r="H701" s="142">
        <x:v>46463</x:v>
      </x:c>
      <x:c r="I701" s="124">
        <x:v>9.9800000000000004</x:v>
      </x:c>
      <x:c r="J701" s="125"/>
      <x:c r="K701" s="25"/>
      <x:c r="L701" s="127"/>
      <x:c r="M701" s="127"/>
    </x:row>
    <x:row r="702" spans="1:13" ht="22.050000000000001">
      <x:c r="A702" s="30" t="s">
        <x:v>638</x:v>
      </x:c>
      <x:c r="B702" s="30" t="s">
        <x:v>573</x:v>
      </x:c>
      <x:c r="C702" s="123"/>
      <x:c r="D702" s="123" t="s">
        <x:v>540</x:v>
      </x:c>
      <x:c r="E702" s="157">
        <x:v>409</x:v>
      </x:c>
      <x:c r="F702" s="30" t="s">
        <x:v>1120</x:v>
      </x:c>
      <x:c r="G702" s="30" t="s">
        <x:v>679</x:v>
      </x:c>
      <x:c r="H702" s="141">
        <x:v>46480</x:v>
      </x:c>
      <x:c r="I702" s="123">
        <x:v>9.9800000000000004</x:v>
      </x:c>
      <x:c r="J702" s="127"/>
      <x:c r="K702" s="22"/>
      <x:c r="L702" s="127"/>
      <x:c r="M702" s="127"/>
    </x:row>
    <x:row r="703" spans="1:13" ht="22.050000000000001">
      <x:c r="A703" s="23" t="s">
        <x:v>638</x:v>
      </x:c>
      <x:c r="B703" s="23" t="s">
        <x:v>573</x:v>
      </x:c>
      <x:c r="C703" s="124"/>
      <x:c r="D703" s="124" t="s">
        <x:v>540</x:v>
      </x:c>
      <x:c r="E703" s="158">
        <x:v>409</x:v>
      </x:c>
      <x:c r="F703" s="23" t="s">
        <x:v>1080</x:v>
      </x:c>
      <x:c r="G703" s="23" t="s">
        <x:v>679</x:v>
      </x:c>
      <x:c r="H703" s="142">
        <x:v>46501</x:v>
      </x:c>
      <x:c r="I703" s="124">
        <x:v>9.9800000000000004</x:v>
      </x:c>
      <x:c r="J703" s="125"/>
      <x:c r="K703" s="25"/>
      <x:c r="L703" s="127"/>
      <x:c r="M703" s="127"/>
    </x:row>
    <x:row r="704" spans="1:13" ht="22.050000000000001">
      <x:c r="A704" s="20" t="s">
        <x:v>638</x:v>
      </x:c>
      <x:c r="B704" s="20" t="s">
        <x:v>573</x:v>
      </x:c>
      <x:c r="C704" s="123"/>
      <x:c r="D704" s="123" t="s">
        <x:v>685</x:v>
      </x:c>
      <x:c r="E704" s="157">
        <x:v>216</x:v>
      </x:c>
      <x:c r="F704" s="20" t="s">
        <x:v>136</x:v>
      </x:c>
      <x:c r="G704" s="20" t="s">
        <x:v>679</x:v>
      </x:c>
      <x:c r="H704" s="141">
        <x:v>46504</x:v>
      </x:c>
      <x:c r="I704" s="123">
        <x:v>9.9800000000000004</x:v>
      </x:c>
      <x:c r="J704" s="127"/>
      <x:c r="K704" s="22"/>
      <x:c r="L704" s="127"/>
      <x:c r="M704" s="127"/>
    </x:row>
    <x:row r="705" spans="1:13" ht="22.050000000000001">
      <x:c r="A705" s="23" t="s">
        <x:v>638</x:v>
      </x:c>
      <x:c r="B705" s="23" t="s">
        <x:v>573</x:v>
      </x:c>
      <x:c r="C705" s="124"/>
      <x:c r="D705" s="124">
        <x:v>969</x:v>
      </x:c>
      <x:c r="E705" s="158">
        <x:v>303</x:v>
      </x:c>
      <x:c r="F705" s="23" t="s">
        <x:v>176</x:v>
      </x:c>
      <x:c r="G705" s="31" t="s">
        <x:v>679</x:v>
      </x:c>
      <x:c r="H705" s="142">
        <x:v>46556</x:v>
      </x:c>
      <x:c r="I705" s="126">
        <x:v>9.9800000000000004</x:v>
      </x:c>
      <x:c r="J705" s="125"/>
      <x:c r="K705" s="25"/>
      <x:c r="L705" s="127"/>
      <x:c r="M705" s="127"/>
    </x:row>
    <x:row r="706" spans="1:13" ht="22.050000000000001">
      <x:c r="A706" s="20" t="s">
        <x:v>638</x:v>
      </x:c>
      <x:c r="B706" s="20" t="s">
        <x:v>573</x:v>
      </x:c>
      <x:c r="C706" s="123"/>
      <x:c r="D706" s="123">
        <x:v>628</x:v>
      </x:c>
      <x:c r="E706" s="157">
        <x:v>216</x:v>
      </x:c>
      <x:c r="F706" s="20" t="s">
        <x:v>136</x:v>
      </x:c>
      <x:c r="G706" s="20" t="s">
        <x:v>679</x:v>
      </x:c>
      <x:c r="H706" s="141">
        <x:v>46613</x:v>
      </x:c>
      <x:c r="I706" s="123">
        <x:v>9.9800000000000004</x:v>
      </x:c>
      <x:c r="J706" s="127"/>
      <x:c r="K706" s="22"/>
      <x:c r="L706" s="127"/>
      <x:c r="M706" s="127"/>
    </x:row>
    <x:row r="707" spans="1:13" ht="22.050000000000001">
      <x:c r="A707" s="23" t="s">
        <x:v>511</x:v>
      </x:c>
      <x:c r="B707" s="23" t="s">
        <x:v>573</x:v>
      </x:c>
      <x:c r="C707" s="124" t="s">
        <x:v>668</x:v>
      </x:c>
      <x:c r="D707" s="124">
        <x:v>38</x:v>
      </x:c>
      <x:c r="E707" s="158">
        <x:v>49</x:v>
      </x:c>
      <x:c r="F707" s="23" t="s">
        <x:v>787</x:v>
      </x:c>
      <x:c r="G707" s="23" t="s">
        <x:v>679</x:v>
      </x:c>
      <x:c r="H707" s="142">
        <x:v>46571</x:v>
      </x:c>
      <x:c r="I707" s="124">
        <x:v>17.890000000000001</x:v>
      </x:c>
      <x:c r="J707" s="125"/>
      <x:c r="K707" s="29"/>
      <x:c r="L707" s="127"/>
      <x:c r="M707" s="127"/>
    </x:row>
    <x:row r="708" spans="1:13" ht="22.050000000000001">
      <x:c r="A708" s="20" t="s">
        <x:v>511</x:v>
      </x:c>
      <x:c r="B708" s="20" t="s">
        <x:v>573</x:v>
      </x:c>
      <x:c r="C708" s="123" t="s">
        <x:v>668</x:v>
      </x:c>
      <x:c r="D708" s="123">
        <x:v>38</x:v>
      </x:c>
      <x:c r="E708" s="157">
        <x:v>214</x:v>
      </x:c>
      <x:c r="F708" s="20" t="s">
        <x:v>811</x:v>
      </x:c>
      <x:c r="G708" s="20" t="s">
        <x:v>679</x:v>
      </x:c>
      <x:c r="H708" s="141">
        <x:v>46655</x:v>
      </x:c>
      <x:c r="I708" s="123">
        <x:v>20.140000000000001</x:v>
      </x:c>
      <x:c r="J708" s="127"/>
      <x:c r="K708" s="22"/>
      <x:c r="L708" s="127"/>
      <x:c r="M708" s="127"/>
    </x:row>
    <x:row r="709" spans="1:13" ht="22.050000000000001">
      <x:c r="A709" s="23" t="s">
        <x:v>511</x:v>
      </x:c>
      <x:c r="B709" s="23" t="s">
        <x:v>573</x:v>
      </x:c>
      <x:c r="C709" s="124" t="s">
        <x:v>636</x:v>
      </x:c>
      <x:c r="D709" s="124">
        <x:v>969</x:v>
      </x:c>
      <x:c r="E709" s="158">
        <x:v>108</x:v>
      </x:c>
      <x:c r="F709" s="23" t="s">
        <x:v>806</x:v>
      </x:c>
      <x:c r="G709" s="23" t="s">
        <x:v>290</x:v>
      </x:c>
      <x:c r="H709" s="142">
        <x:v>46731</x:v>
      </x:c>
      <x:c r="I709" s="124">
        <x:v>20.52</x:v>
      </x:c>
      <x:c r="J709" s="125"/>
      <x:c r="K709" s="25"/>
      <x:c r="L709" s="127"/>
      <x:c r="M709" s="127"/>
    </x:row>
    <x:row r="710" spans="1:13" ht="22.050000000000001">
      <x:c r="A710" s="30" t="s">
        <x:v>607</x:v>
      </x:c>
      <x:c r="B710" s="30" t="s">
        <x:v>533</x:v>
      </x:c>
      <x:c r="C710" s="123" t="s">
        <x:v>668</x:v>
      </x:c>
      <x:c r="D710" s="123">
        <x:v>93</x:v>
      </x:c>
      <x:c r="E710" s="157">
        <x:v>16</x:v>
      </x:c>
      <x:c r="F710" s="30" t="s">
        <x:v>849</x:v>
      </x:c>
      <x:c r="G710" s="30" t="s">
        <x:v>621</x:v>
      </x:c>
      <x:c r="H710" s="141">
        <x:v>46744</x:v>
      </x:c>
      <x:c r="I710" s="123">
        <x:v>31.530000000000001</x:v>
      </x:c>
      <x:c r="J710" s="127"/>
      <x:c r="K710" s="37"/>
      <x:c r="L710" s="125"/>
      <x:c r="M710" s="125"/>
    </x:row>
    <x:row r="711" spans="1:13" ht="22.050000000000001">
      <x:c r="A711" s="31" t="s">
        <x:v>607</x:v>
      </x:c>
      <x:c r="B711" s="31" t="s">
        <x:v>533</x:v>
      </x:c>
      <x:c r="C711" s="124" t="s">
        <x:v>636</x:v>
      </x:c>
      <x:c r="D711" s="124" t="s">
        <x:v>635</x:v>
      </x:c>
      <x:c r="E711" s="158">
        <x:v>0</x:v>
      </x:c>
      <x:c r="F711" s="31" t="s">
        <x:v>881</x:v>
      </x:c>
      <x:c r="G711" s="31" t="s">
        <x:v>617</x:v>
      </x:c>
      <x:c r="H711" s="142">
        <x:v>46652</x:v>
      </x:c>
      <x:c r="I711" s="124">
        <x:v>29.010000000000002</x:v>
      </x:c>
      <x:c r="J711" s="124"/>
      <x:c r="K711" s="31"/>
      <x:c r="L711" s="123"/>
      <x:c r="M711" s="123"/>
    </x:row>
    <x:row r="712" spans="1:13" ht="22.050000000000001">
      <x:c r="A712" s="30" t="s">
        <x:v>607</x:v>
      </x:c>
      <x:c r="B712" s="30" t="s">
        <x:v>533</x:v>
      </x:c>
      <x:c r="C712" s="123" t="s">
        <x:v>636</x:v>
      </x:c>
      <x:c r="D712" s="123" t="s">
        <x:v>635</x:v>
      </x:c>
      <x:c r="E712" s="157">
        <x:v>9</x:v>
      </x:c>
      <x:c r="F712" s="30" t="s">
        <x:v>881</x:v>
      </x:c>
      <x:c r="G712" s="30" t="s">
        <x:v>617</x:v>
      </x:c>
      <x:c r="H712" s="141">
        <x:v>46652</x:v>
      </x:c>
      <x:c r="I712" s="123">
        <x:v>29.010000000000002</x:v>
      </x:c>
      <x:c r="J712" s="123"/>
      <x:c r="K712" s="30"/>
      <x:c r="L712" s="123"/>
      <x:c r="M712" s="123"/>
    </x:row>
    <x:row r="713" spans="1:13" ht="22.050000000000001">
      <x:c r="A713" s="31" t="s">
        <x:v>607</x:v>
      </x:c>
      <x:c r="B713" s="31" t="s">
        <x:v>533</x:v>
      </x:c>
      <x:c r="C713" s="124" t="s">
        <x:v>636</x:v>
      </x:c>
      <x:c r="D713" s="124" t="s">
        <x:v>670</x:v>
      </x:c>
      <x:c r="E713" s="158">
        <x:v>10</x:v>
      </x:c>
      <x:c r="F713" s="31" t="s">
        <x:v>872</x:v>
      </x:c>
      <x:c r="G713" s="31" t="s">
        <x:v>652</x:v>
      </x:c>
      <x:c r="H713" s="142">
        <x:v>46681</x:v>
      </x:c>
      <x:c r="I713" s="124">
        <x:v>26.18</x:v>
      </x:c>
      <x:c r="J713" s="124"/>
      <x:c r="K713" s="25"/>
      <x:c r="L713" s="123"/>
      <x:c r="M713" s="123"/>
    </x:row>
    <x:row r="714" spans="1:13" ht="22.050000000000001">
      <x:c r="A714" s="20" t="s">
        <x:v>607</x:v>
      </x:c>
      <x:c r="B714" s="20" t="s">
        <x:v>533</x:v>
      </x:c>
      <x:c r="C714" s="123" t="s">
        <x:v>636</x:v>
      </x:c>
      <x:c r="D714" s="123" t="s">
        <x:v>635</x:v>
      </x:c>
      <x:c r="E714" s="157">
        <x:v>9</x:v>
      </x:c>
      <x:c r="F714" s="20" t="s">
        <x:v>171</x:v>
      </x:c>
      <x:c r="G714" s="20" t="s">
        <x:v>617</x:v>
      </x:c>
      <x:c r="H714" s="141">
        <x:v>46688</x:v>
      </x:c>
      <x:c r="I714" s="123">
        <x:v>27.719999999999999</x:v>
      </x:c>
      <x:c r="J714" s="127"/>
      <x:c r="K714" s="22"/>
      <x:c r="L714" s="127"/>
      <x:c r="M714" s="127"/>
    </x:row>
    <x:row r="715" spans="1:13" ht="22.050000000000001">
      <x:c r="A715" s="31" t="s">
        <x:v>607</x:v>
      </x:c>
      <x:c r="B715" s="23" t="s">
        <x:v>703</x:v>
      </x:c>
      <x:c r="C715" s="124" t="s">
        <x:v>636</x:v>
      </x:c>
      <x:c r="D715" s="124">
        <x:v>262</x:v>
      </x:c>
      <x:c r="E715" s="158">
        <x:v>25</x:v>
      </x:c>
      <x:c r="F715" s="23" t="s">
        <x:v>845</x:v>
      </x:c>
      <x:c r="G715" s="23" t="s">
        <x:v>617</x:v>
      </x:c>
      <x:c r="H715" s="142">
        <x:v>46661</x:v>
      </x:c>
      <x:c r="I715" s="124">
        <x:v>17.059999999999999</x:v>
      </x:c>
      <x:c r="J715" s="125"/>
      <x:c r="K715" s="25"/>
      <x:c r="L715" s="127"/>
      <x:c r="M715" s="127"/>
    </x:row>
    <x:row r="716" spans="1:13" ht="22.050000000000001">
      <x:c r="A716" s="20" t="s">
        <x:v>607</x:v>
      </x:c>
      <x:c r="B716" s="20" t="s">
        <x:v>1014</x:v>
      </x:c>
      <x:c r="C716" s="123" t="s">
        <x:v>616</x:v>
      </x:c>
      <x:c r="D716" s="123" t="s">
        <x:v>596</x:v>
      </x:c>
      <x:c r="E716" s="157">
        <x:v>17</x:v>
      </x:c>
      <x:c r="F716" s="20" t="s">
        <x:v>229</x:v>
      </x:c>
      <x:c r="G716" s="20" t="s">
        <x:v>309</x:v>
      </x:c>
      <x:c r="H716" s="141">
        <x:v>46616</x:v>
      </x:c>
      <x:c r="I716" s="123">
        <x:v>26.489999999999998</x:v>
      </x:c>
      <x:c r="J716" s="127"/>
      <x:c r="K716" s="22"/>
      <x:c r="L716" s="127"/>
      <x:c r="M716" s="127"/>
    </x:row>
    <x:row r="717" spans="1:13" ht="22.050000000000001">
      <x:c r="A717" s="23" t="s">
        <x:v>607</x:v>
      </x:c>
      <x:c r="B717" s="23" t="s">
        <x:v>1014</x:v>
      </x:c>
      <x:c r="C717" s="124" t="s">
        <x:v>616</x:v>
      </x:c>
      <x:c r="D717" s="124" t="s">
        <x:v>596</x:v>
      </x:c>
      <x:c r="E717" s="158">
        <x:v>58</x:v>
      </x:c>
      <x:c r="F717" s="23" t="s">
        <x:v>268</x:v>
      </x:c>
      <x:c r="G717" s="23" t="s">
        <x:v>290</x:v>
      </x:c>
      <x:c r="H717" s="142">
        <x:v>46659</x:v>
      </x:c>
      <x:c r="I717" s="124">
        <x:v>26.18</x:v>
      </x:c>
      <x:c r="J717" s="125"/>
      <x:c r="K717" s="25"/>
      <x:c r="L717" s="127"/>
      <x:c r="M717" s="127"/>
    </x:row>
    <x:row r="718" spans="1:13" ht="22.050000000000001">
      <x:c r="A718" s="30" t="s">
        <x:v>607</x:v>
      </x:c>
      <x:c r="B718" s="30" t="s">
        <x:v>1014</x:v>
      </x:c>
      <x:c r="C718" s="123" t="s">
        <x:v>616</x:v>
      </x:c>
      <x:c r="D718" s="123" t="s">
        <x:v>596</x:v>
      </x:c>
      <x:c r="E718" s="157">
        <x:v>80</x:v>
      </x:c>
      <x:c r="F718" s="30" t="s">
        <x:v>236</x:v>
      </x:c>
      <x:c r="G718" s="30" t="s">
        <x:v>722</x:v>
      </x:c>
      <x:c r="H718" s="141">
        <x:v>46694</x:v>
      </x:c>
      <x:c r="I718" s="123">
        <x:v>26.579999999999998</x:v>
      </x:c>
      <x:c r="J718" s="127"/>
      <x:c r="K718" s="22"/>
      <x:c r="L718" s="127"/>
      <x:c r="M718" s="127"/>
    </x:row>
    <x:row r="719" spans="1:13" ht="22.050000000000001">
      <x:c r="A719" s="23" t="s">
        <x:v>607</x:v>
      </x:c>
      <x:c r="B719" s="31" t="s">
        <x:v>1014</x:v>
      </x:c>
      <x:c r="C719" s="124" t="s">
        <x:v>616</x:v>
      </x:c>
      <x:c r="D719" s="124" t="s">
        <x:v>596</x:v>
      </x:c>
      <x:c r="E719" s="158">
        <x:v>123</x:v>
      </x:c>
      <x:c r="F719" s="23" t="s">
        <x:v>230</x:v>
      </x:c>
      <x:c r="G719" s="23" t="s">
        <x:v>679</x:v>
      </x:c>
      <x:c r="H719" s="142">
        <x:v>46721</x:v>
      </x:c>
      <x:c r="I719" s="124">
        <x:v>27.309999999999999</x:v>
      </x:c>
      <x:c r="J719" s="125"/>
      <x:c r="K719" s="25"/>
      <x:c r="L719" s="127"/>
      <x:c r="M719" s="127"/>
    </x:row>
    <x:row r="720" spans="1:13" ht="22.050000000000001">
      <x:c r="A720" s="30" t="s">
        <x:v>607</x:v>
      </x:c>
      <x:c r="B720" s="30" t="s">
        <x:v>1014</x:v>
      </x:c>
      <x:c r="C720" s="123" t="s">
        <x:v>616</x:v>
      </x:c>
      <x:c r="D720" s="123" t="s">
        <x:v>596</x:v>
      </x:c>
      <x:c r="E720" s="157">
        <x:v>66</x:v>
      </x:c>
      <x:c r="F720" s="30" t="s">
        <x:v>170</x:v>
      </x:c>
      <x:c r="G720" s="30" t="s">
        <x:v>309</x:v>
      </x:c>
      <x:c r="H720" s="141">
        <x:v>46756</x:v>
      </x:c>
      <x:c r="I720" s="123">
        <x:v>27.140000000000001</x:v>
      </x:c>
      <x:c r="J720" s="127"/>
      <x:c r="K720" s="37"/>
      <x:c r="L720" s="125"/>
      <x:c r="M720" s="125"/>
    </x:row>
    <x:row r="721" spans="1:13" ht="22.050000000000001">
      <x:c r="A721" s="23" t="s">
        <x:v>607</x:v>
      </x:c>
      <x:c r="B721" s="23" t="s">
        <x:v>1014</x:v>
      </x:c>
      <x:c r="C721" s="124" t="s">
        <x:v>616</x:v>
      </x:c>
      <x:c r="D721" s="124" t="s">
        <x:v>596</x:v>
      </x:c>
      <x:c r="E721" s="158">
        <x:v>102</x:v>
      </x:c>
      <x:c r="F721" s="23" t="s">
        <x:v>206</x:v>
      </x:c>
      <x:c r="G721" s="23" t="s">
        <x:v>679</x:v>
      </x:c>
      <x:c r="H721" s="142">
        <x:v>46774</x:v>
      </x:c>
      <x:c r="I721" s="124">
        <x:v>27.75</x:v>
      </x:c>
      <x:c r="J721" s="125"/>
      <x:c r="K721" s="25"/>
      <x:c r="L721" s="127"/>
      <x:c r="M721" s="127"/>
    </x:row>
    <x:row r="722" spans="1:13" ht="22.050000000000001">
      <x:c r="A722" s="20" t="s">
        <x:v>607</x:v>
      </x:c>
      <x:c r="B722" s="20" t="s">
        <x:v>573</x:v>
      </x:c>
      <x:c r="C722" s="123" t="s">
        <x:v>627</x:v>
      </x:c>
      <x:c r="D722" s="123">
        <x:v>969</x:v>
      </x:c>
      <x:c r="E722" s="157">
        <x:v>22</x:v>
      </x:c>
      <x:c r="F722" s="20" t="s">
        <x:v>232</x:v>
      </x:c>
      <x:c r="G722" s="20" t="s">
        <x:v>617</x:v>
      </x:c>
      <x:c r="H722" s="141">
        <x:v>46724</x:v>
      </x:c>
      <x:c r="I722" s="123">
        <x:v>30.699999999999999</x:v>
      </x:c>
      <x:c r="J722" s="127"/>
      <x:c r="K722" s="22"/>
      <x:c r="L722" s="127"/>
      <x:c r="M722" s="127"/>
    </x:row>
    <x:row r="723" spans="1:13" ht="22.050000000000001">
      <x:c r="A723" s="23" t="s">
        <x:v>607</x:v>
      </x:c>
      <x:c r="B723" s="23" t="s">
        <x:v>573</x:v>
      </x:c>
      <x:c r="C723" s="124" t="s">
        <x:v>636</x:v>
      </x:c>
      <x:c r="D723" s="124" t="s">
        <x:v>685</x:v>
      </x:c>
      <x:c r="E723" s="158">
        <x:v>9</x:v>
      </x:c>
      <x:c r="F723" s="23" t="s">
        <x:v>248</x:v>
      </x:c>
      <x:c r="G723" s="23" t="s">
        <x:v>309</x:v>
      </x:c>
      <x:c r="H723" s="142">
        <x:v>46718</x:v>
      </x:c>
      <x:c r="I723" s="124">
        <x:v>31.77</x:v>
      </x:c>
      <x:c r="J723" s="125"/>
      <x:c r="K723" s="25"/>
      <x:c r="L723" s="125"/>
      <x:c r="M723" s="125"/>
    </x:row>
    <x:row r="724" spans="1:13" ht="22.050000000000001">
      <x:c r="A724" s="20" t="s">
        <x:v>607</x:v>
      </x:c>
      <x:c r="B724" s="20" t="s">
        <x:v>573</x:v>
      </x:c>
      <x:c r="C724" s="123" t="s">
        <x:v>636</x:v>
      </x:c>
      <x:c r="D724" s="123" t="s">
        <x:v>685</x:v>
      </x:c>
      <x:c r="E724" s="157">
        <x:v>40</x:v>
      </x:c>
      <x:c r="F724" s="20" t="s">
        <x:v>244</x:v>
      </x:c>
      <x:c r="G724" s="20" t="s">
        <x:v>617</x:v>
      </x:c>
      <x:c r="H724" s="141">
        <x:v>46722</x:v>
      </x:c>
      <x:c r="I724" s="123">
        <x:v>32.710000000000001</x:v>
      </x:c>
      <x:c r="J724" s="127"/>
      <x:c r="K724" s="22"/>
      <x:c r="L724" s="127"/>
      <x:c r="M724" s="127"/>
    </x:row>
    <x:row r="725" spans="1:13" ht="22.050000000000001">
      <x:c r="A725" s="23" t="s">
        <x:v>607</x:v>
      </x:c>
      <x:c r="B725" s="23" t="s">
        <x:v>573</x:v>
      </x:c>
      <x:c r="C725" s="124" t="s">
        <x:v>636</x:v>
      </x:c>
      <x:c r="D725" s="124" t="s">
        <x:v>685</x:v>
      </x:c>
      <x:c r="E725" s="158">
        <x:v>49</x:v>
      </x:c>
      <x:c r="F725" s="23" t="s">
        <x:v>244</x:v>
      </x:c>
      <x:c r="G725" s="23" t="s">
        <x:v>722</x:v>
      </x:c>
      <x:c r="H725" s="142">
        <x:v>46722</x:v>
      </x:c>
      <x:c r="I725" s="124">
        <x:v>32.710000000000001</x:v>
      </x:c>
      <x:c r="J725" s="125"/>
      <x:c r="K725" s="25"/>
      <x:c r="L725" s="127"/>
      <x:c r="M725" s="127"/>
    </x:row>
    <x:row r="726" spans="1:13" ht="22.050000000000001">
      <x:c r="A726" s="22" t="s">
        <x:v>607</x:v>
      </x:c>
      <x:c r="B726" s="22" t="s">
        <x:v>573</x:v>
      </x:c>
      <x:c r="C726" s="127" t="s">
        <x:v>636</x:v>
      </x:c>
      <x:c r="D726" s="127" t="s">
        <x:v>685</x:v>
      </x:c>
      <x:c r="E726" s="160">
        <x:v>1</x:v>
      </x:c>
      <x:c r="F726" s="22" t="s">
        <x:v>253</x:v>
      </x:c>
      <x:c r="G726" s="22" t="s">
        <x:v>617</x:v>
      </x:c>
      <x:c r="H726" s="144">
        <x:v>46724</x:v>
      </x:c>
      <x:c r="I726" s="127">
        <x:v>32.030000000000001</x:v>
      </x:c>
      <x:c r="J726" s="127"/>
      <x:c r="K726" s="22" t="s">
        <x:v>721</x:v>
      </x:c>
      <x:c r="L726" s="127"/>
      <x:c r="M726" s="127"/>
    </x:row>
    <x:row r="727" spans="1:13" ht="22.050000000000001">
      <x:c r="A727" s="25" t="s">
        <x:v>607</x:v>
      </x:c>
      <x:c r="B727" s="25" t="s">
        <x:v>573</x:v>
      </x:c>
      <x:c r="C727" s="125" t="s">
        <x:v>636</x:v>
      </x:c>
      <x:c r="D727" s="125" t="s">
        <x:v>685</x:v>
      </x:c>
      <x:c r="E727" s="159">
        <x:v>13</x:v>
      </x:c>
      <x:c r="F727" s="25" t="s">
        <x:v>253</x:v>
      </x:c>
      <x:c r="G727" s="25" t="s">
        <x:v>617</x:v>
      </x:c>
      <x:c r="H727" s="143">
        <x:v>46724</x:v>
      </x:c>
      <x:c r="I727" s="125">
        <x:v>32.030000000000001</x:v>
      </x:c>
      <x:c r="J727" s="125"/>
      <x:c r="K727" s="25" t="s">
        <x:v>721</x:v>
      </x:c>
      <x:c r="L727" s="127"/>
      <x:c r="M727" s="127"/>
    </x:row>
    <x:row r="728" spans="1:13" ht="22.050000000000001">
      <x:c r="A728" s="20" t="s">
        <x:v>607</x:v>
      </x:c>
      <x:c r="B728" s="20" t="s">
        <x:v>573</x:v>
      </x:c>
      <x:c r="C728" s="123" t="s">
        <x:v>636</x:v>
      </x:c>
      <x:c r="D728" s="123" t="s">
        <x:v>540</x:v>
      </x:c>
      <x:c r="E728" s="157">
        <x:v>39</x:v>
      </x:c>
      <x:c r="F728" s="20" t="s">
        <x:v>244</x:v>
      </x:c>
      <x:c r="G728" s="20" t="s">
        <x:v>722</x:v>
      </x:c>
      <x:c r="H728" s="141">
        <x:v>46750</x:v>
      </x:c>
      <x:c r="I728" s="123">
        <x:v>26.77</x:v>
      </x:c>
      <x:c r="J728" s="127"/>
      <x:c r="K728" s="22"/>
      <x:c r="L728" s="127"/>
      <x:c r="M728" s="127"/>
    </x:row>
    <x:row r="729" spans="1:13" ht="22.050000000000001">
      <x:c r="A729" s="23" t="s">
        <x:v>607</x:v>
      </x:c>
      <x:c r="B729" s="23" t="s">
        <x:v>573</x:v>
      </x:c>
      <x:c r="C729" s="124" t="s">
        <x:v>636</x:v>
      </x:c>
      <x:c r="D729" s="124">
        <x:v>969</x:v>
      </x:c>
      <x:c r="E729" s="158">
        <x:v>37</x:v>
      </x:c>
      <x:c r="F729" s="23" t="s">
        <x:v>253</x:v>
      </x:c>
      <x:c r="G729" s="23" t="s">
        <x:v>722</x:v>
      </x:c>
      <x:c r="H729" s="142">
        <x:v>46753</x:v>
      </x:c>
      <x:c r="I729" s="124">
        <x:v>31.199999999999999</x:v>
      </x:c>
      <x:c r="J729" s="125"/>
      <x:c r="K729" s="25" t="s">
        <x:v>569</x:v>
      </x:c>
      <x:c r="L729" s="127"/>
      <x:c r="M729" s="127"/>
    </x:row>
    <x:row r="730" spans="1:13" ht="22.050000000000001">
      <x:c r="A730" s="20" t="s">
        <x:v>607</x:v>
      </x:c>
      <x:c r="B730" s="20" t="s">
        <x:v>573</x:v>
      </x:c>
      <x:c r="C730" s="123" t="s">
        <x:v>636</x:v>
      </x:c>
      <x:c r="D730" s="123" t="s">
        <x:v>540</x:v>
      </x:c>
      <x:c r="E730" s="157">
        <x:v>20</x:v>
      </x:c>
      <x:c r="F730" s="20" t="s">
        <x:v>283</x:v>
      </x:c>
      <x:c r="G730" s="20" t="s">
        <x:v>722</x:v>
      </x:c>
      <x:c r="H730" s="141">
        <x:v>46781</x:v>
      </x:c>
      <x:c r="I730" s="123">
        <x:v>26.640000000000001</x:v>
      </x:c>
      <x:c r="J730" s="127"/>
      <x:c r="K730" s="22"/>
      <x:c r="L730" s="127"/>
      <x:c r="M730" s="127"/>
    </x:row>
    <x:row r="731" spans="1:13" ht="22.050000000000001">
      <x:c r="A731" s="23" t="s">
        <x:v>607</x:v>
      </x:c>
      <x:c r="B731" s="23" t="s">
        <x:v>573</x:v>
      </x:c>
      <x:c r="C731" s="124" t="s">
        <x:v>636</x:v>
      </x:c>
      <x:c r="D731" s="124">
        <x:v>969</x:v>
      </x:c>
      <x:c r="E731" s="158">
        <x:v>116</x:v>
      </x:c>
      <x:c r="F731" s="23" t="s">
        <x:v>283</x:v>
      </x:c>
      <x:c r="G731" s="23" t="s">
        <x:v>722</x:v>
      </x:c>
      <x:c r="H731" s="142">
        <x:v>46785</x:v>
      </x:c>
      <x:c r="I731" s="124">
        <x:v>36.270000000000003</x:v>
      </x:c>
      <x:c r="J731" s="125"/>
      <x:c r="K731" s="25"/>
      <x:c r="L731" s="127"/>
      <x:c r="M731" s="127"/>
    </x:row>
    <x:row r="732" spans="1:13" ht="22.050000000000001">
      <x:c r="A732" s="30" t="s">
        <x:v>607</x:v>
      </x:c>
      <x:c r="B732" s="30" t="s">
        <x:v>573</x:v>
      </x:c>
      <x:c r="C732" s="123" t="s">
        <x:v>636</x:v>
      </x:c>
      <x:c r="D732" s="123">
        <x:v>969</x:v>
      </x:c>
      <x:c r="E732" s="157">
        <x:v>76</x:v>
      </x:c>
      <x:c r="F732" s="20" t="s">
        <x:v>875</x:v>
      </x:c>
      <x:c r="G732" s="20" t="s">
        <x:v>309</x:v>
      </x:c>
      <x:c r="H732" s="141">
        <x:v>46799</x:v>
      </x:c>
      <x:c r="I732" s="123">
        <x:v>32.75</x:v>
      </x:c>
      <x:c r="J732" s="127"/>
      <x:c r="K732" s="22"/>
      <x:c r="L732" s="127"/>
      <x:c r="M732" s="127"/>
    </x:row>
    <x:row r="733" spans="1:13" ht="22.050000000000001">
      <x:c r="A733" s="31" t="s">
        <x:v>607</x:v>
      </x:c>
      <x:c r="B733" s="31" t="s">
        <x:v>573</x:v>
      </x:c>
      <x:c r="C733" s="124" t="s">
        <x:v>636</x:v>
      </x:c>
      <x:c r="D733" s="124" t="s">
        <x:v>540</x:v>
      </x:c>
      <x:c r="E733" s="158">
        <x:v>85</x:v>
      </x:c>
      <x:c r="F733" s="23" t="s">
        <x:v>875</x:v>
      </x:c>
      <x:c r="G733" s="23" t="s">
        <x:v>309</x:v>
      </x:c>
      <x:c r="H733" s="142">
        <x:v>46799</x:v>
      </x:c>
      <x:c r="I733" s="124">
        <x:v>26.899999999999999</x:v>
      </x:c>
      <x:c r="J733" s="125"/>
      <x:c r="K733" s="25"/>
      <x:c r="L733" s="127"/>
      <x:c r="M733" s="127"/>
    </x:row>
  </x:sheetData>
  <x:autoFilter ref="A1:K733">
    <x:sortState columnSort="0" caseSensitive="0" ref="A1:N733">
      <x:sortCondition descending="0" sortBy="value" ref="A1:A733"/>
      <x:sortCondition descending="0" sortBy="value" ref="B1:B733"/>
      <x:sortCondition descending="0" sortBy="value" ref="C1:C733"/>
      <x:sortCondition descending="0" sortBy="value" ref="H1:H733"/>
      <x:sortCondition descending="0" sortBy="value" ref="E1:E733"/>
      <x:sortCondition descending="0" sortBy="value" ref="I1:I733"/>
    </x:sortState>
  </x:autoFilter>
  <x:conditionalFormatting sqref="H1:H103 H105:H733">
    <x:cfRule type="expression" dxfId="12" priority="1">
      <x:formula>$H$1:$H733-TODAY()&lt;30</x:formula>
    </x:cfRule>
  </x:conditionalFormatting>
  <x:printOptions horizontalCentered="1" verticalCentered="0" headings="0" gridLines="1" gridLinesSet="1"/>
  <x:pageMargins left="0.69972223043441772" right="0.69972223043441772" top="0.75" bottom="0.75" header="0" footer="0"/>
  <x:pageSetup paperSize="9" scale="100" firstPageNumber="1" fitToWidth="1" fitToHeight="0" pageOrder="overThenDown" orientation="landscape" usePrinterDefaults="1" blackAndWhite="0" draft="0" cellComments="atEnd" useFirstPageNumber="0" horizontalDpi="600" verticalDpi="600" copies="1"/>
  <x:legacy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Q187"/>
  <x:sheetViews>
    <x:sheetView topLeftCell="A1" zoomScaleNormal="100" zoomScaleSheetLayoutView="75" workbookViewId="0">
      <x:selection activeCell="A1" activeCellId="0" sqref="A1:A1"/>
    </x:sheetView>
  </x:sheetViews>
  <x:sheetFormatPr defaultColWidth="12.62890625" defaultRowHeight="15.75" customHeight="1"/>
  <x:cols>
    <x:col min="1" max="1" width="1.75" style="1" customWidth="1"/>
    <x:col min="2" max="2" width="4.87890625" style="1" customWidth="1"/>
    <x:col min="3" max="3" width="17.87890625" style="1" customWidth="1"/>
    <x:col min="4" max="4" width="14.25" style="1" customWidth="1"/>
    <x:col min="5" max="5" width="10.12890625" style="1" customWidth="1"/>
    <x:col min="6" max="6" width="9.5" style="1" customWidth="1"/>
    <x:col min="7" max="7" width="31.25" style="1" customWidth="1"/>
    <x:col min="8" max="8" width="6.12890625" style="1" customWidth="1"/>
    <x:col min="9" max="9" width="10.75" style="1" customWidth="1"/>
    <x:col min="10" max="10" width="17.87890625" style="1" customWidth="1"/>
    <x:col min="11" max="11" width="14.25" style="1" customWidth="1"/>
    <x:col min="12" max="12" width="8.62890625" style="1" customWidth="1"/>
    <x:col min="13" max="13" width="11.75" style="1" customWidth="1"/>
    <x:col min="14" max="14" width="18.5" style="1" customWidth="1"/>
    <x:col min="15" max="15" width="5.12890625" style="1" customWidth="1"/>
    <x:col min="16" max="16" width="9.75" style="1" customWidth="1"/>
  </x:cols>
  <x:sheetData>
    <x:row r="1" spans="1:17" hidden="1">
      <x:c r="A1" s="51"/>
      <x:c r="B1" s="51"/>
      <x:c r="C1" s="51"/>
      <x:c r="D1" s="51"/>
      <x:c r="E1" s="51"/>
      <x:c r="F1" s="51"/>
      <x:c r="G1" s="51"/>
      <x:c r="H1" s="52"/>
      <x:c r="I1" s="53"/>
      <x:c r="J1" s="51"/>
      <x:c r="K1" s="51"/>
      <x:c r="L1" s="51"/>
      <x:c r="M1" s="51"/>
      <x:c r="N1" s="51"/>
      <x:c r="O1" s="54"/>
      <x:c r="P1" s="51"/>
      <x:c r="Q1" s="51"/>
    </x:row>
    <x:row r="2" spans="1:17" hidden="1">
      <x:c r="A2" s="51"/>
      <x:c r="B2" s="51"/>
      <x:c r="C2" s="51"/>
      <x:c r="D2" s="51"/>
      <x:c r="E2" s="51"/>
      <x:c r="F2" s="51"/>
      <x:c r="G2" s="51"/>
      <x:c r="H2" s="52"/>
      <x:c r="I2" s="53"/>
      <x:c r="J2" s="51"/>
      <x:c r="K2" s="51"/>
      <x:c r="L2" s="51"/>
      <x:c r="M2" s="51"/>
      <x:c r="N2" s="51"/>
      <x:c r="O2" s="54"/>
      <x:c r="P2" s="51"/>
      <x:c r="Q2" s="51"/>
    </x:row>
    <x:row r="3" spans="1:17" hidden="1">
      <x:c r="A3" s="51"/>
      <x:c r="B3" s="51"/>
      <x:c r="C3" s="51"/>
      <x:c r="D3" s="51"/>
      <x:c r="E3" s="51"/>
      <x:c r="F3" s="51"/>
      <x:c r="G3" s="51"/>
      <x:c r="H3" s="52"/>
      <x:c r="I3" s="53"/>
      <x:c r="J3" s="51"/>
      <x:c r="K3" s="51"/>
      <x:c r="L3" s="51"/>
      <x:c r="M3" s="51"/>
      <x:c r="N3" s="51"/>
      <x:c r="O3" s="54"/>
      <x:c r="P3" s="51"/>
      <x:c r="Q3" s="51"/>
    </x:row>
    <x:row r="4" spans="1:17" hidden="1">
      <x:c r="A4" s="51"/>
      <x:c r="B4" s="51"/>
      <x:c r="C4" s="51"/>
      <x:c r="D4" s="51"/>
      <x:c r="E4" s="51"/>
      <x:c r="F4" s="51"/>
      <x:c r="G4" s="51"/>
      <x:c r="H4" s="52"/>
      <x:c r="I4" s="53"/>
      <x:c r="J4" s="51"/>
      <x:c r="K4" s="51"/>
      <x:c r="L4" s="51"/>
      <x:c r="M4" s="51"/>
      <x:c r="N4" s="51"/>
      <x:c r="O4" s="54"/>
      <x:c r="P4" s="51"/>
      <x:c r="Q4" s="51"/>
    </x:row>
    <x:row r="5" spans="1:17" ht="6" hidden="1" customHeight="1">
      <x:c r="A5" s="51"/>
      <x:c r="B5" s="51"/>
      <x:c r="C5" s="51"/>
      <x:c r="D5" s="51"/>
      <x:c r="E5" s="51"/>
      <x:c r="F5" s="51"/>
      <x:c r="G5" s="51"/>
      <x:c r="H5" s="52"/>
      <x:c r="I5" s="53"/>
      <x:c r="J5" s="51"/>
      <x:c r="K5" s="51"/>
      <x:c r="L5" s="51"/>
      <x:c r="M5" s="51"/>
      <x:c r="N5" s="51"/>
      <x:c r="O5" s="54"/>
      <x:c r="P5" s="51"/>
      <x:c r="Q5" s="51"/>
    </x:row>
    <x:row r="6" spans="1:17" hidden="1">
      <x:c r="A6" s="51"/>
      <x:c r="B6" s="51"/>
      <x:c r="C6" s="51"/>
      <x:c r="D6" s="51"/>
      <x:c r="E6" s="51"/>
      <x:c r="F6" s="51"/>
      <x:c r="G6" s="51"/>
      <x:c r="H6" s="52"/>
      <x:c r="I6" s="53"/>
      <x:c r="J6" s="51"/>
      <x:c r="K6" s="51"/>
      <x:c r="L6" s="51"/>
      <x:c r="M6" s="51"/>
      <x:c r="N6" s="51"/>
      <x:c r="O6" s="54"/>
      <x:c r="P6" s="51"/>
      <x:c r="Q6" s="51"/>
    </x:row>
    <x:row r="7" spans="1:17" hidden="1">
      <x:c r="A7" s="51"/>
      <x:c r="B7" s="51"/>
      <x:c r="C7" s="51"/>
      <x:c r="D7" s="51"/>
      <x:c r="E7" s="51"/>
      <x:c r="F7" s="51"/>
      <x:c r="G7" s="51"/>
      <x:c r="H7" s="52"/>
      <x:c r="I7" s="53"/>
      <x:c r="J7" s="51"/>
      <x:c r="K7" s="51"/>
      <x:c r="L7" s="51"/>
      <x:c r="M7" s="51"/>
      <x:c r="N7" s="51"/>
      <x:c r="O7" s="54"/>
      <x:c r="P7" s="51"/>
      <x:c r="Q7" s="51"/>
    </x:row>
    <x:row r="8" spans="1:17" ht="6.75" hidden="1" customHeight="1">
      <x:c r="A8" s="51"/>
      <x:c r="B8" s="51"/>
      <x:c r="C8" s="51"/>
      <x:c r="D8" s="51"/>
      <x:c r="E8" s="51"/>
      <x:c r="F8" s="51"/>
      <x:c r="G8" s="51"/>
      <x:c r="H8" s="52"/>
      <x:c r="I8" s="53"/>
      <x:c r="J8" s="51"/>
      <x:c r="K8" s="51"/>
      <x:c r="L8" s="51"/>
      <x:c r="M8" s="51"/>
      <x:c r="N8" s="51"/>
      <x:c r="O8" s="54"/>
      <x:c r="P8" s="51"/>
      <x:c r="Q8" s="51"/>
    </x:row>
    <x:row r="9" spans="1:17" hidden="1">
      <x:c r="A9" s="51"/>
      <x:c r="B9" s="51"/>
      <x:c r="C9" s="51"/>
      <x:c r="D9" s="51"/>
      <x:c r="E9" s="51"/>
      <x:c r="F9" s="51"/>
      <x:c r="G9" s="51"/>
      <x:c r="H9" s="52"/>
      <x:c r="I9" s="53"/>
      <x:c r="J9" s="51"/>
      <x:c r="K9" s="51"/>
      <x:c r="L9" s="51"/>
      <x:c r="M9" s="51"/>
      <x:c r="N9" s="51"/>
      <x:c r="O9" s="54"/>
      <x:c r="P9" s="51"/>
      <x:c r="Q9" s="51"/>
    </x:row>
    <x:row r="10" spans="1:17" hidden="1">
      <x:c r="A10" s="51"/>
      <x:c r="B10" s="51"/>
      <x:c r="C10" s="51"/>
      <x:c r="D10" s="51"/>
      <x:c r="E10" s="51"/>
      <x:c r="F10" s="51"/>
      <x:c r="G10" s="51"/>
      <x:c r="H10" s="52"/>
      <x:c r="I10" s="53"/>
      <x:c r="J10" s="51"/>
      <x:c r="K10" s="51"/>
      <x:c r="L10" s="51"/>
      <x:c r="M10" s="51"/>
      <x:c r="N10" s="51"/>
      <x:c r="O10" s="54"/>
      <x:c r="P10" s="51"/>
      <x:c r="Q10" s="51"/>
    </x:row>
    <x:row r="11" spans="1:17" ht="21" customHeight="1">
      <x:c r="A11" s="55" t="s">
        <x:v>641</x:v>
      </x:c>
      <x:c r="B11" s="179"/>
      <x:c r="C11" s="179"/>
      <x:c r="D11" s="179"/>
      <x:c r="E11" s="179"/>
      <x:c r="F11" s="179"/>
      <x:c r="G11" s="179"/>
      <x:c r="H11" s="179"/>
      <x:c r="I11" s="179"/>
      <x:c r="J11" s="179"/>
      <x:c r="K11" s="179"/>
      <x:c r="L11" s="179"/>
      <x:c r="M11" s="179"/>
      <x:c r="N11" s="179"/>
      <x:c r="O11" s="56"/>
      <x:c r="P11" s="57"/>
      <x:c r="Q11" s="57"/>
    </x:row>
    <x:row r="12" spans="1:17">
      <x:c r="A12" s="16"/>
      <x:c r="B12" s="180">
        <x:v>46042</x:v>
      </x:c>
      <x:c r="C12" s="181"/>
      <x:c r="D12" s="181"/>
      <x:c r="E12" s="181"/>
      <x:c r="F12" s="181"/>
      <x:c r="G12" s="181"/>
      <x:c r="H12" s="181"/>
      <x:c r="I12" s="181"/>
      <x:c r="J12" s="58"/>
      <x:c r="K12" s="58"/>
      <x:c r="L12" s="58"/>
      <x:c r="M12" s="58"/>
      <x:c r="N12" s="58"/>
      <x:c r="O12" s="58"/>
      <x:c r="P12" s="58"/>
      <x:c r="Q12" s="59"/>
    </x:row>
    <x:row r="13" spans="1:17">
      <x:c r="A13" s="16"/>
      <x:c r="B13" s="60" t="s">
        <x:v>653</x:v>
      </x:c>
      <x:c r="C13" s="61" t="s">
        <x:v>623</x:v>
      </x:c>
      <x:c r="D13" s="61" t="s">
        <x:v>629</x:v>
      </x:c>
      <x:c r="E13" s="61" t="s">
        <x:v>516</x:v>
      </x:c>
      <x:c r="F13" s="61" t="s">
        <x:v>647</x:v>
      </x:c>
      <x:c r="G13" s="61" t="s">
        <x:v>521</x:v>
      </x:c>
      <x:c r="H13" s="61" t="s">
        <x:v>661</x:v>
      </x:c>
      <x:c r="I13" s="62" t="s">
        <x:v>686</x:v>
      </x:c>
      <x:c r="J13" s="16"/>
      <x:c r="K13" s="16"/>
      <x:c r="L13" s="16"/>
      <x:c r="M13" s="16"/>
      <x:c r="N13" s="16"/>
      <x:c r="O13" s="16"/>
      <x:c r="P13" s="16"/>
      <x:c r="Q13" s="17"/>
    </x:row>
    <x:row r="14" spans="1:17">
      <x:c r="A14" s="16"/>
      <x:c r="B14" s="60" t="s">
        <x:v>655</x:v>
      </x:c>
      <x:c r="C14" s="63" t="s">
        <x:v>573</x:v>
      </x:c>
      <x:c r="D14" s="63" t="s">
        <x:v>551</x:v>
      </x:c>
      <x:c r="E14" s="63" t="s">
        <x:v>631</x:v>
      </x:c>
      <x:c r="F14" s="63" t="s">
        <x:v>685</x:v>
      </x:c>
      <x:c r="G14" s="63" t="s">
        <x:v>617</x:v>
      </x:c>
      <x:c r="H14" s="64" t="s">
        <x:v>552</x:v>
      </x:c>
      <x:c r="I14" s="65">
        <x:v>19000</x:v>
      </x:c>
      <x:c r="J14" s="16"/>
      <x:c r="K14" s="16"/>
      <x:c r="L14" s="16"/>
      <x:c r="M14" s="16"/>
      <x:c r="N14" s="16"/>
      <x:c r="O14" s="16"/>
      <x:c r="P14" s="16"/>
      <x:c r="Q14" s="17"/>
    </x:row>
    <x:row r="15" spans="1:17">
      <x:c r="A15" s="16"/>
      <x:c r="B15" s="182" t="s">
        <x:v>1103</x:v>
      </x:c>
      <x:c r="C15" s="175" t="s">
        <x:v>571</x:v>
      </x:c>
      <x:c r="D15" s="66" t="s">
        <x:v>643</x:v>
      </x:c>
      <x:c r="E15" s="67"/>
      <x:c r="F15" s="66" t="s">
        <x:v>1013</x:v>
      </x:c>
      <x:c r="G15" s="66" t="s">
        <x:v>630</x:v>
      </x:c>
      <x:c r="H15" s="66">
        <x:v>27</x:v>
      </x:c>
      <x:c r="I15" s="68">
        <x:v>9000</x:v>
      </x:c>
      <x:c r="J15" s="16"/>
      <x:c r="K15" s="16"/>
      <x:c r="L15" s="16"/>
      <x:c r="M15" s="16"/>
      <x:c r="N15" s="16"/>
      <x:c r="O15" s="16"/>
      <x:c r="P15" s="16"/>
      <x:c r="Q15" s="17"/>
    </x:row>
    <x:row r="16" spans="1:17">
      <x:c r="A16" s="16"/>
      <x:c r="B16" s="177"/>
      <x:c r="C16" s="176"/>
      <x:c r="D16" s="66" t="s">
        <x:v>665</x:v>
      </x:c>
      <x:c r="E16" s="67"/>
      <x:c r="F16" s="66"/>
      <x:c r="G16" s="66" t="s">
        <x:v>630</x:v>
      </x:c>
      <x:c r="H16" s="66">
        <x:v>13</x:v>
      </x:c>
      <x:c r="I16" s="68">
        <x:v>7500</x:v>
      </x:c>
      <x:c r="J16" s="16"/>
      <x:c r="K16" s="16"/>
      <x:c r="L16" s="16"/>
      <x:c r="M16" s="16"/>
      <x:c r="N16" s="16"/>
      <x:c r="O16" s="16"/>
      <x:c r="P16" s="16"/>
      <x:c r="Q16" s="17"/>
    </x:row>
    <x:row r="17" spans="1:17">
      <x:c r="A17" s="16"/>
      <x:c r="B17" s="177"/>
      <x:c r="C17" s="66" t="s">
        <x:v>573</x:v>
      </x:c>
      <x:c r="D17" s="66" t="s">
        <x:v>663</x:v>
      </x:c>
      <x:c r="E17" s="66" t="s">
        <x:v>631</x:v>
      </x:c>
      <x:c r="F17" s="66" t="s">
        <x:v>540</x:v>
      </x:c>
      <x:c r="G17" s="66" t="s">
        <x:v>609</x:v>
      </x:c>
      <x:c r="H17" s="66">
        <x:v>28.109999999999999</x:v>
      </x:c>
      <x:c r="I17" s="69"/>
      <x:c r="J17" s="16"/>
      <x:c r="K17" s="16"/>
      <x:c r="L17" s="16"/>
      <x:c r="M17" s="16"/>
      <x:c r="N17" s="16"/>
      <x:c r="O17" s="16"/>
      <x:c r="P17" s="16"/>
      <x:c r="Q17" s="17"/>
    </x:row>
    <x:row r="18" spans="1:17">
      <x:c r="A18" s="16"/>
      <x:c r="B18" s="177"/>
      <x:c r="C18" s="175" t="s">
        <x:v>533</x:v>
      </x:c>
      <x:c r="D18" s="66" t="s">
        <x:v>554</x:v>
      </x:c>
      <x:c r="E18" s="66" t="s">
        <x:v>626</x:v>
      </x:c>
      <x:c r="F18" s="67"/>
      <x:c r="G18" s="66" t="s">
        <x:v>609</x:v>
      </x:c>
      <x:c r="H18" s="66">
        <x:v>15</x:v>
      </x:c>
      <x:c r="I18" s="69"/>
      <x:c r="J18" s="16"/>
      <x:c r="K18" s="16"/>
      <x:c r="L18" s="16"/>
      <x:c r="M18" s="16"/>
      <x:c r="N18" s="16"/>
      <x:c r="O18" s="16"/>
      <x:c r="P18" s="16"/>
      <x:c r="Q18" s="17"/>
    </x:row>
    <x:row r="19" spans="1:17">
      <x:c r="A19" s="16"/>
      <x:c r="B19" s="177"/>
      <x:c r="C19" s="177"/>
      <x:c r="D19" s="66" t="s">
        <x:v>637</x:v>
      </x:c>
      <x:c r="E19" s="66" t="s">
        <x:v>627</x:v>
      </x:c>
      <x:c r="F19" s="66" t="s">
        <x:v>625</x:v>
      </x:c>
      <x:c r="G19" s="66" t="s">
        <x:v>609</x:v>
      </x:c>
      <x:c r="H19" s="66">
        <x:v>22</x:v>
      </x:c>
      <x:c r="I19" s="69"/>
      <x:c r="J19" s="15"/>
      <x:c r="K19" s="16"/>
      <x:c r="L19" s="16"/>
      <x:c r="M19" s="16"/>
      <x:c r="N19" s="16"/>
      <x:c r="O19" s="16"/>
      <x:c r="P19" s="16"/>
      <x:c r="Q19" s="17"/>
    </x:row>
    <x:row r="20" spans="1:17">
      <x:c r="A20" s="16"/>
      <x:c r="B20" s="177"/>
      <x:c r="C20" s="177"/>
      <x:c r="D20" s="66" t="s">
        <x:v>637</x:v>
      </x:c>
      <x:c r="E20" s="66" t="s">
        <x:v>627</x:v>
      </x:c>
      <x:c r="F20" s="66" t="s">
        <x:v>635</x:v>
      </x:c>
      <x:c r="G20" s="66" t="s">
        <x:v>609</x:v>
      </x:c>
      <x:c r="H20" s="66">
        <x:v>22</x:v>
      </x:c>
      <x:c r="I20" s="65">
        <x:v>21000</x:v>
      </x:c>
      <x:c r="J20" s="16"/>
      <x:c r="K20" s="16"/>
      <x:c r="L20" s="16"/>
      <x:c r="M20" s="16"/>
      <x:c r="N20" s="16"/>
      <x:c r="O20" s="16"/>
      <x:c r="P20" s="16"/>
      <x:c r="Q20" s="17"/>
    </x:row>
    <x:row r="21" spans="1:17">
      <x:c r="A21" s="16"/>
      <x:c r="B21" s="177"/>
      <x:c r="C21" s="177"/>
      <x:c r="D21" s="66" t="s">
        <x:v>637</x:v>
      </x:c>
      <x:c r="E21" s="66" t="s">
        <x:v>627</x:v>
      </x:c>
      <x:c r="F21" s="66" t="s">
        <x:v>670</x:v>
      </x:c>
      <x:c r="G21" s="70" t="s">
        <x:v>630</x:v>
      </x:c>
      <x:c r="H21" s="66">
        <x:v>22</x:v>
      </x:c>
      <x:c r="I21" s="65">
        <x:v>20500</x:v>
      </x:c>
      <x:c r="J21" s="16"/>
      <x:c r="K21" s="16"/>
      <x:c r="L21" s="16"/>
      <x:c r="M21" s="16"/>
      <x:c r="N21" s="16"/>
      <x:c r="O21" s="16"/>
      <x:c r="P21" s="16"/>
      <x:c r="Q21" s="17"/>
    </x:row>
    <x:row r="22" spans="1:17">
      <x:c r="A22" s="16"/>
      <x:c r="B22" s="177"/>
      <x:c r="C22" s="177"/>
      <x:c r="D22" s="66" t="s">
        <x:v>646</x:v>
      </x:c>
      <x:c r="E22" s="66" t="s">
        <x:v>1012</x:v>
      </x:c>
      <x:c r="F22" s="67"/>
      <x:c r="G22" s="66" t="s">
        <x:v>630</x:v>
      </x:c>
      <x:c r="H22" s="66">
        <x:v>20</x:v>
      </x:c>
      <x:c r="I22" s="68" t="s">
        <x:v>1108</x:v>
      </x:c>
      <x:c r="J22" s="16"/>
      <x:c r="K22" s="16"/>
      <x:c r="L22" s="16"/>
      <x:c r="M22" s="16"/>
      <x:c r="N22" s="16"/>
      <x:c r="O22" s="16"/>
      <x:c r="P22" s="16"/>
      <x:c r="Q22" s="17"/>
    </x:row>
    <x:row r="23" spans="1:17">
      <x:c r="A23" s="16"/>
      <x:c r="B23" s="177"/>
      <x:c r="C23" s="177"/>
      <x:c r="D23" s="66" t="s">
        <x:v>656</x:v>
      </x:c>
      <x:c r="E23" s="66" t="s">
        <x:v>1012</x:v>
      </x:c>
      <x:c r="F23" s="67"/>
      <x:c r="G23" s="66" t="s">
        <x:v>609</x:v>
      </x:c>
      <x:c r="H23" s="66">
        <x:v>20</x:v>
      </x:c>
      <x:c r="I23" s="68" t="s">
        <x:v>1104</x:v>
      </x:c>
      <x:c r="J23" s="16"/>
      <x:c r="K23" s="16"/>
      <x:c r="L23" s="16"/>
      <x:c r="M23" s="16"/>
      <x:c r="N23" s="16"/>
      <x:c r="O23" s="16"/>
      <x:c r="P23" s="16"/>
      <x:c r="Q23" s="17"/>
    </x:row>
    <x:row r="24" spans="1:17">
      <x:c r="A24" s="16"/>
      <x:c r="B24" s="177"/>
      <x:c r="C24" s="177"/>
      <x:c r="D24" s="66" t="s">
        <x:v>580</x:v>
      </x:c>
      <x:c r="E24" s="66" t="s">
        <x:v>627</x:v>
      </x:c>
      <x:c r="F24" s="67"/>
      <x:c r="G24" s="66" t="s">
        <x:v>609</x:v>
      </x:c>
      <x:c r="H24" s="66">
        <x:v>20</x:v>
      </x:c>
      <x:c r="I24" s="68">
        <x:v>16500</x:v>
      </x:c>
      <x:c r="J24" s="16"/>
      <x:c r="K24" s="16"/>
      <x:c r="L24" s="16"/>
      <x:c r="M24" s="16"/>
      <x:c r="N24" s="16"/>
      <x:c r="O24" s="16"/>
      <x:c r="P24" s="16"/>
      <x:c r="Q24" s="17"/>
    </x:row>
    <x:row r="25" spans="1:17">
      <x:c r="A25" s="16"/>
      <x:c r="B25" s="177"/>
      <x:c r="C25" s="177"/>
      <x:c r="D25" s="66" t="s">
        <x:v>650</x:v>
      </x:c>
      <x:c r="E25" s="66" t="s">
        <x:v>631</x:v>
      </x:c>
      <x:c r="F25" s="67"/>
      <x:c r="G25" s="66" t="s">
        <x:v>609</x:v>
      </x:c>
      <x:c r="H25" s="66">
        <x:v>20</x:v>
      </x:c>
      <x:c r="I25" s="68">
        <x:v>18000</x:v>
      </x:c>
      <x:c r="J25" s="16"/>
      <x:c r="K25" s="16"/>
      <x:c r="L25" s="16"/>
      <x:c r="M25" s="16"/>
      <x:c r="N25" s="16"/>
      <x:c r="O25" s="16"/>
      <x:c r="P25" s="16"/>
      <x:c r="Q25" s="17"/>
    </x:row>
    <x:row r="26" spans="1:17">
      <x:c r="A26" s="16"/>
      <x:c r="B26" s="177"/>
      <x:c r="C26" s="177"/>
      <x:c r="D26" s="66" t="s">
        <x:v>650</x:v>
      </x:c>
      <x:c r="E26" s="66" t="s">
        <x:v>626</x:v>
      </x:c>
      <x:c r="F26" s="67"/>
      <x:c r="G26" s="66" t="s">
        <x:v>630</x:v>
      </x:c>
      <x:c r="H26" s="66">
        <x:v>18</x:v>
      </x:c>
      <x:c r="I26" s="68">
        <x:v>19500</x:v>
      </x:c>
      <x:c r="J26" s="16"/>
      <x:c r="K26" s="16"/>
      <x:c r="L26" s="16"/>
      <x:c r="M26" s="16"/>
      <x:c r="N26" s="16"/>
      <x:c r="O26" s="16"/>
      <x:c r="P26" s="16"/>
      <x:c r="Q26" s="17"/>
    </x:row>
    <x:row r="27" spans="1:17">
      <x:c r="A27" s="16"/>
      <x:c r="B27" s="177"/>
      <x:c r="C27" s="177"/>
      <x:c r="D27" s="66" t="s">
        <x:v>546</x:v>
      </x:c>
      <x:c r="E27" s="66" t="s">
        <x:v>1012</x:v>
      </x:c>
      <x:c r="F27" s="67"/>
      <x:c r="G27" s="66" t="s">
        <x:v>630</x:v>
      </x:c>
      <x:c r="H27" s="66">
        <x:v>19</x:v>
      </x:c>
      <x:c r="I27" s="68" t="s">
        <x:v>1105</x:v>
      </x:c>
      <x:c r="J27" s="16"/>
      <x:c r="K27" s="16"/>
      <x:c r="L27" s="16"/>
      <x:c r="M27" s="16"/>
      <x:c r="N27" s="16"/>
      <x:c r="O27" s="16"/>
      <x:c r="P27" s="16"/>
      <x:c r="Q27" s="17"/>
    </x:row>
    <x:row r="28" spans="1:17">
      <x:c r="A28" s="16"/>
      <x:c r="B28" s="177"/>
      <x:c r="C28" s="177"/>
      <x:c r="D28" s="66" t="s">
        <x:v>633</x:v>
      </x:c>
      <x:c r="E28" s="66" t="s">
        <x:v>627</x:v>
      </x:c>
      <x:c r="F28" s="67"/>
      <x:c r="G28" s="66" t="s">
        <x:v>630</x:v>
      </x:c>
      <x:c r="H28" s="66">
        <x:v>17</x:v>
      </x:c>
      <x:c r="I28" s="65">
        <x:v>17000</x:v>
      </x:c>
      <x:c r="J28" s="16"/>
      <x:c r="K28" s="16"/>
      <x:c r="L28" s="16"/>
      <x:c r="M28" s="16"/>
      <x:c r="N28" s="16"/>
      <x:c r="O28" s="16"/>
      <x:c r="P28" s="16"/>
      <x:c r="Q28" s="17"/>
    </x:row>
    <x:row r="29" spans="1:17">
      <x:c r="A29" s="16"/>
      <x:c r="B29" s="176"/>
      <x:c r="C29" s="176"/>
      <x:c r="D29" s="66" t="s">
        <x:v>511</x:v>
      </x:c>
      <x:c r="E29" s="66" t="s">
        <x:v>636</x:v>
      </x:c>
      <x:c r="F29" s="66"/>
      <x:c r="G29" s="66" t="s">
        <x:v>609</x:v>
      </x:c>
      <x:c r="H29" s="66">
        <x:v>18</x:v>
      </x:c>
      <x:c r="I29" s="69"/>
      <x:c r="J29" s="16"/>
      <x:c r="K29" s="16"/>
      <x:c r="L29" s="16"/>
      <x:c r="M29" s="16"/>
      <x:c r="N29" s="16"/>
      <x:c r="O29" s="16"/>
      <x:c r="P29" s="16"/>
      <x:c r="Q29" s="17"/>
    </x:row>
    <x:row r="30" spans="1:17">
      <x:c r="A30" s="16"/>
      <x:c r="B30" s="183" t="s">
        <x:v>271</x:v>
      </x:c>
      <x:c r="C30" s="66" t="s">
        <x:v>714</x:v>
      </x:c>
      <x:c r="D30" s="66" t="s">
        <x:v>764</x:v>
      </x:c>
      <x:c r="E30" s="66" t="s">
        <x:v>636</x:v>
      </x:c>
      <x:c r="F30" s="66">
        <x:v>410</x:v>
      </x:c>
      <x:c r="G30" s="66" t="s">
        <x:v>674</x:v>
      </x:c>
      <x:c r="H30" s="71" t="s">
        <x:v>459</x:v>
      </x:c>
      <x:c r="I30" s="69"/>
      <x:c r="J30" s="15"/>
      <x:c r="K30" s="16"/>
      <x:c r="L30" s="16"/>
      <x:c r="M30" s="16"/>
      <x:c r="N30" s="16"/>
      <x:c r="O30" s="16"/>
      <x:c r="P30" s="16"/>
      <x:c r="Q30" s="17"/>
    </x:row>
    <x:row r="31" spans="1:17">
      <x:c r="A31" s="16"/>
      <x:c r="B31" s="177"/>
      <x:c r="C31" s="66" t="s">
        <x:v>1118</x:v>
      </x:c>
      <x:c r="D31" s="66" t="s">
        <x:v>593</x:v>
      </x:c>
      <x:c r="E31" s="66" t="s">
        <x:v>627</x:v>
      </x:c>
      <x:c r="F31" s="66">
        <x:v>788</x:v>
      </x:c>
      <x:c r="G31" s="66" t="s">
        <x:v>666</x:v>
      </x:c>
      <x:c r="H31" s="71" t="s">
        <x:v>466</x:v>
      </x:c>
      <x:c r="I31" s="65">
        <x:v>36000</x:v>
      </x:c>
      <x:c r="J31" s="15"/>
      <x:c r="K31" s="16"/>
      <x:c r="L31" s="16"/>
      <x:c r="M31" s="16"/>
      <x:c r="N31" s="16"/>
      <x:c r="O31" s="16"/>
      <x:c r="P31" s="16"/>
      <x:c r="Q31" s="17"/>
    </x:row>
    <x:row r="32" spans="1:17">
      <x:c r="A32" s="16"/>
      <x:c r="B32" s="177"/>
      <x:c r="C32" s="66" t="s">
        <x:v>848</x:v>
      </x:c>
      <x:c r="D32" s="72" t="s">
        <x:v>1022</x:v>
      </x:c>
      <x:c r="E32" s="72"/>
      <x:c r="F32" s="72">
        <x:v>934</x:v>
      </x:c>
      <x:c r="G32" s="72" t="s">
        <x:v>706</x:v>
      </x:c>
      <x:c r="H32" s="73" t="s">
        <x:v>476</x:v>
      </x:c>
      <x:c r="I32" s="65">
        <x:v>9600</x:v>
      </x:c>
      <x:c r="J32" s="15"/>
      <x:c r="K32" s="16"/>
      <x:c r="L32" s="16"/>
      <x:c r="M32" s="16"/>
      <x:c r="N32" s="16"/>
      <x:c r="O32" s="16"/>
      <x:c r="P32" s="16"/>
      <x:c r="Q32" s="17"/>
    </x:row>
    <x:row r="33" spans="1:17">
      <x:c r="A33" s="16"/>
      <x:c r="B33" s="177"/>
      <x:c r="C33" s="175" t="s">
        <x:v>1113</x:v>
      </x:c>
      <x:c r="D33" s="70" t="s">
        <x:v>593</x:v>
      </x:c>
      <x:c r="E33" s="70" t="s">
        <x:v>627</x:v>
      </x:c>
      <x:c r="F33" s="70" t="s">
        <x:v>366</x:v>
      </x:c>
      <x:c r="G33" s="70" t="s">
        <x:v>662</x:v>
      </x:c>
      <x:c r="H33" s="74" t="s">
        <x:v>654</x:v>
      </x:c>
      <x:c r="I33" s="69"/>
      <x:c r="J33" s="15"/>
      <x:c r="K33" s="16"/>
      <x:c r="L33" s="16"/>
      <x:c r="M33" s="16"/>
      <x:c r="N33" s="16"/>
      <x:c r="O33" s="16"/>
      <x:c r="P33" s="16"/>
      <x:c r="Q33" s="17"/>
    </x:row>
    <x:row r="34" spans="1:17">
      <x:c r="A34" s="16"/>
      <x:c r="B34" s="177"/>
      <x:c r="C34" s="176"/>
      <x:c r="D34" s="66" t="s">
        <x:v>771</x:v>
      </x:c>
      <x:c r="E34" s="66"/>
      <x:c r="F34" s="66" t="s">
        <x:v>366</x:v>
      </x:c>
      <x:c r="G34" s="66" t="s">
        <x:v>639</x:v>
      </x:c>
      <x:c r="H34" s="71" t="s">
        <x:v>468</x:v>
      </x:c>
      <x:c r="I34" s="69"/>
      <x:c r="J34" s="15"/>
      <x:c r="K34" s="16"/>
      <x:c r="L34" s="16"/>
      <x:c r="M34" s="16"/>
      <x:c r="N34" s="16"/>
      <x:c r="O34" s="16"/>
      <x:c r="P34" s="16"/>
      <x:c r="Q34" s="17"/>
    </x:row>
    <x:row r="35" spans="1:17">
      <x:c r="A35" s="16"/>
      <x:c r="B35" s="177"/>
      <x:c r="C35" s="66" t="s">
        <x:v>762</x:v>
      </x:c>
      <x:c r="D35" s="66" t="s">
        <x:v>580</x:v>
      </x:c>
      <x:c r="E35" s="66" t="s">
        <x:v>627</x:v>
      </x:c>
      <x:c r="F35" s="66">
        <x:v>337</x:v>
      </x:c>
      <x:c r="G35" s="66" t="s">
        <x:v>672</x:v>
      </x:c>
      <x:c r="H35" s="71" t="s">
        <x:v>467</x:v>
      </x:c>
      <x:c r="I35" s="65">
        <x:v>15500</x:v>
      </x:c>
      <x:c r="J35" s="15"/>
      <x:c r="K35" s="16"/>
      <x:c r="L35" s="16"/>
      <x:c r="M35" s="16"/>
      <x:c r="N35" s="16"/>
      <x:c r="O35" s="16"/>
      <x:c r="P35" s="16"/>
      <x:c r="Q35" s="17"/>
    </x:row>
    <x:row r="36" spans="1:17">
      <x:c r="A36" s="16"/>
      <x:c r="B36" s="177"/>
      <x:c r="C36" s="175" t="s">
        <x:v>1017</x:v>
      </x:c>
      <x:c r="D36" s="175" t="s">
        <x:v>624</x:v>
      </x:c>
      <x:c r="E36" s="175" t="s">
        <x:v>631</x:v>
      </x:c>
      <x:c r="F36" s="66" t="s">
        <x:v>685</x:v>
      </x:c>
      <x:c r="G36" s="66" t="s">
        <x:v>820</x:v>
      </x:c>
      <x:c r="H36" s="71" t="s">
        <x:v>456</x:v>
      </x:c>
      <x:c r="I36" s="65">
        <x:v>19500</x:v>
      </x:c>
      <x:c r="J36" s="15"/>
      <x:c r="K36" s="16"/>
      <x:c r="L36" s="16"/>
      <x:c r="M36" s="16"/>
      <x:c r="N36" s="16"/>
      <x:c r="O36" s="16"/>
      <x:c r="P36" s="16"/>
      <x:c r="Q36" s="17"/>
    </x:row>
    <x:row r="37" spans="1:17">
      <x:c r="A37" s="16"/>
      <x:c r="B37" s="177"/>
      <x:c r="C37" s="177"/>
      <x:c r="D37" s="177"/>
      <x:c r="E37" s="176"/>
      <x:c r="F37" s="66">
        <x:v>969</x:v>
      </x:c>
      <x:c r="G37" s="70" t="s">
        <x:v>810</x:v>
      </x:c>
      <x:c r="H37" s="71" t="s">
        <x:v>422</x:v>
      </x:c>
      <x:c r="I37" s="65">
        <x:v>22000</x:v>
      </x:c>
      <x:c r="J37" s="15"/>
      <x:c r="K37" s="16"/>
      <x:c r="L37" s="16"/>
      <x:c r="M37" s="16"/>
      <x:c r="N37" s="16"/>
      <x:c r="O37" s="16"/>
      <x:c r="P37" s="16"/>
      <x:c r="Q37" s="17"/>
    </x:row>
    <x:row r="38" spans="1:17">
      <x:c r="A38" s="16"/>
      <x:c r="B38" s="177"/>
      <x:c r="C38" s="177"/>
      <x:c r="D38" s="177"/>
      <x:c r="E38" s="175" t="s">
        <x:v>616</x:v>
      </x:c>
      <x:c r="F38" s="66" t="s">
        <x:v>685</x:v>
      </x:c>
      <x:c r="G38" s="66" t="s">
        <x:v>1112</x:v>
      </x:c>
      <x:c r="H38" s="71" t="s">
        <x:v>424</x:v>
      </x:c>
      <x:c r="I38" s="65">
        <x:v>17800</x:v>
      </x:c>
      <x:c r="J38" s="15"/>
      <x:c r="K38" s="16"/>
      <x:c r="L38" s="16"/>
      <x:c r="M38" s="16"/>
      <x:c r="N38" s="16"/>
      <x:c r="O38" s="16"/>
      <x:c r="P38" s="16"/>
      <x:c r="Q38" s="17"/>
    </x:row>
    <x:row r="39" spans="1:17">
      <x:c r="A39" s="16"/>
      <x:c r="B39" s="177"/>
      <x:c r="C39" s="177"/>
      <x:c r="D39" s="177"/>
      <x:c r="E39" s="176"/>
      <x:c r="F39" s="66">
        <x:v>969</x:v>
      </x:c>
      <x:c r="G39" s="66" t="s">
        <x:v>448</x:v>
      </x:c>
      <x:c r="H39" s="71" t="s">
        <x:v>390</x:v>
      </x:c>
      <x:c r="I39" s="65">
        <x:v>19000</x:v>
      </x:c>
      <x:c r="J39" s="15"/>
      <x:c r="K39" s="16"/>
      <x:c r="L39" s="16"/>
      <x:c r="M39" s="16"/>
      <x:c r="N39" s="16"/>
      <x:c r="O39" s="16"/>
      <x:c r="P39" s="16"/>
      <x:c r="Q39" s="17"/>
    </x:row>
    <x:row r="40" spans="1:17">
      <x:c r="A40" s="16"/>
      <x:c r="B40" s="177"/>
      <x:c r="C40" s="177"/>
      <x:c r="D40" s="176"/>
      <x:c r="E40" s="66" t="s">
        <x:v>636</x:v>
      </x:c>
      <x:c r="F40" s="66" t="s">
        <x:v>540</x:v>
      </x:c>
      <x:c r="G40" s="66" t="s">
        <x:v>639</x:v>
      </x:c>
      <x:c r="H40" s="71" t="s">
        <x:v>475</x:v>
      </x:c>
      <x:c r="I40" s="65">
        <x:v>20000</x:v>
      </x:c>
      <x:c r="J40" s="15"/>
      <x:c r="K40" s="16"/>
      <x:c r="L40" s="16"/>
      <x:c r="M40" s="16"/>
      <x:c r="N40" s="16"/>
      <x:c r="O40" s="16"/>
      <x:c r="P40" s="16"/>
      <x:c r="Q40" s="17"/>
    </x:row>
    <x:row r="41" spans="1:17">
      <x:c r="A41" s="16"/>
      <x:c r="B41" s="177"/>
      <x:c r="C41" s="177"/>
      <x:c r="D41" s="175" t="s">
        <x:v>658</x:v>
      </x:c>
      <x:c r="E41" s="175" t="s">
        <x:v>627</x:v>
      </x:c>
      <x:c r="F41" s="66" t="s">
        <x:v>685</x:v>
      </x:c>
      <x:c r="G41" s="66" t="s">
        <x:v>418</x:v>
      </x:c>
      <x:c r="H41" s="71" t="s">
        <x:v>417</x:v>
      </x:c>
      <x:c r="I41" s="65">
        <x:v>20000</x:v>
      </x:c>
      <x:c r="J41" s="15"/>
      <x:c r="K41" s="16"/>
      <x:c r="L41" s="16"/>
      <x:c r="M41" s="16"/>
      <x:c r="N41" s="16"/>
      <x:c r="O41" s="16"/>
      <x:c r="P41" s="16"/>
      <x:c r="Q41" s="17"/>
    </x:row>
    <x:row r="42" spans="1:17">
      <x:c r="A42" s="16"/>
      <x:c r="B42" s="177"/>
      <x:c r="C42" s="177"/>
      <x:c r="D42" s="177"/>
      <x:c r="E42" s="176"/>
      <x:c r="F42" s="66" t="s">
        <x:v>540</x:v>
      </x:c>
      <x:c r="G42" s="66" t="s">
        <x:v>418</x:v>
      </x:c>
      <x:c r="H42" s="71" t="s">
        <x:v>420</x:v>
      </x:c>
      <x:c r="I42" s="65">
        <x:v>20500</x:v>
      </x:c>
      <x:c r="J42" s="15"/>
      <x:c r="K42" s="16"/>
      <x:c r="L42" s="16"/>
      <x:c r="M42" s="16"/>
      <x:c r="N42" s="16"/>
      <x:c r="O42" s="16"/>
      <x:c r="P42" s="16"/>
      <x:c r="Q42" s="17"/>
    </x:row>
    <x:row r="43" spans="1:17">
      <x:c r="A43" s="16"/>
      <x:c r="B43" s="177"/>
      <x:c r="C43" s="177"/>
      <x:c r="D43" s="176"/>
      <x:c r="E43" s="70" t="s">
        <x:v>636</x:v>
      </x:c>
      <x:c r="F43" s="70" t="s">
        <x:v>540</x:v>
      </x:c>
      <x:c r="G43" s="70" t="s">
        <x:v>628</x:v>
      </x:c>
      <x:c r="H43" s="74" t="s">
        <x:v>449</x:v>
      </x:c>
      <x:c r="I43" s="65"/>
      <x:c r="J43" s="15"/>
      <x:c r="K43" s="16"/>
      <x:c r="L43" s="16"/>
      <x:c r="M43" s="16"/>
      <x:c r="N43" s="16"/>
      <x:c r="O43" s="16"/>
      <x:c r="P43" s="16"/>
      <x:c r="Q43" s="17"/>
    </x:row>
    <x:row r="44" spans="1:17">
      <x:c r="A44" s="16"/>
      <x:c r="B44" s="177"/>
      <x:c r="C44" s="177"/>
      <x:c r="D44" s="175" t="s">
        <x:v>646</x:v>
      </x:c>
      <x:c r="E44" s="175" t="s">
        <x:v>627</x:v>
      </x:c>
      <x:c r="F44" s="66" t="s">
        <x:v>685</x:v>
      </x:c>
      <x:c r="G44" s="70" t="s">
        <x:v>620</x:v>
      </x:c>
      <x:c r="H44" s="71" t="s">
        <x:v>433</x:v>
      </x:c>
      <x:c r="I44" s="65">
        <x:v>18500</x:v>
      </x:c>
      <x:c r="J44" s="15"/>
      <x:c r="K44" s="16"/>
      <x:c r="L44" s="16"/>
      <x:c r="M44" s="16"/>
      <x:c r="N44" s="16"/>
      <x:c r="O44" s="16"/>
      <x:c r="P44" s="16"/>
      <x:c r="Q44" s="17"/>
    </x:row>
    <x:row r="45" spans="1:17">
      <x:c r="A45" s="16"/>
      <x:c r="B45" s="177"/>
      <x:c r="C45" s="177"/>
      <x:c r="D45" s="176"/>
      <x:c r="E45" s="176"/>
      <x:c r="F45" s="66">
        <x:v>969</x:v>
      </x:c>
      <x:c r="G45" s="70" t="s">
        <x:v>439</x:v>
      </x:c>
      <x:c r="H45" s="71" t="s">
        <x:v>387</x:v>
      </x:c>
      <x:c r="I45" s="65">
        <x:v>18500</x:v>
      </x:c>
      <x:c r="J45" s="15"/>
      <x:c r="K45" s="16"/>
      <x:c r="L45" s="16"/>
      <x:c r="M45" s="16"/>
      <x:c r="N45" s="16"/>
      <x:c r="O45" s="16"/>
      <x:c r="P45" s="16"/>
      <x:c r="Q45" s="17"/>
    </x:row>
    <x:row r="46" spans="1:17">
      <x:c r="A46" s="16"/>
      <x:c r="B46" s="177"/>
      <x:c r="C46" s="177"/>
      <x:c r="D46" s="175" t="s">
        <x:v>547</x:v>
      </x:c>
      <x:c r="E46" s="66" t="s">
        <x:v>710</x:v>
      </x:c>
      <x:c r="F46" s="66">
        <x:v>969</x:v>
      </x:c>
      <x:c r="G46" s="70" t="s">
        <x:v>451</x:v>
      </x:c>
      <x:c r="H46" s="71" t="s">
        <x:v>388</x:v>
      </x:c>
      <x:c r="I46" s="65">
        <x:v>9200</x:v>
      </x:c>
      <x:c r="J46" s="15"/>
      <x:c r="K46" s="16"/>
      <x:c r="L46" s="16"/>
      <x:c r="M46" s="16"/>
      <x:c r="N46" s="16"/>
      <x:c r="O46" s="16"/>
      <x:c r="P46" s="16"/>
      <x:c r="Q46" s="17"/>
    </x:row>
    <x:row r="47" spans="1:17">
      <x:c r="A47" s="16"/>
      <x:c r="B47" s="177"/>
      <x:c r="C47" s="177"/>
      <x:c r="D47" s="177"/>
      <x:c r="E47" s="175" t="s">
        <x:v>636</x:v>
      </x:c>
      <x:c r="F47" s="66">
        <x:v>969</x:v>
      </x:c>
      <x:c r="G47" s="66" t="s">
        <x:v>620</x:v>
      </x:c>
      <x:c r="H47" s="71" t="s">
        <x:v>440</x:v>
      </x:c>
      <x:c r="I47" s="65">
        <x:v>9000</x:v>
      </x:c>
      <x:c r="J47" s="15"/>
      <x:c r="K47" s="16"/>
      <x:c r="L47" s="16"/>
      <x:c r="M47" s="16"/>
      <x:c r="N47" s="16"/>
      <x:c r="O47" s="16"/>
      <x:c r="P47" s="16"/>
      <x:c r="Q47" s="17"/>
    </x:row>
    <x:row r="48" spans="1:17">
      <x:c r="A48" s="16"/>
      <x:c r="B48" s="177"/>
      <x:c r="C48" s="177"/>
      <x:c r="D48" s="176"/>
      <x:c r="E48" s="176"/>
      <x:c r="F48" s="66" t="s">
        <x:v>540</x:v>
      </x:c>
      <x:c r="G48" s="66" t="s">
        <x:v>1116</x:v>
      </x:c>
      <x:c r="H48" s="71" t="s">
        <x:v>457</x:v>
      </x:c>
      <x:c r="I48" s="65">
        <x:v>9000</x:v>
      </x:c>
      <x:c r="J48" s="15"/>
      <x:c r="K48" s="16"/>
      <x:c r="L48" s="16"/>
      <x:c r="M48" s="16"/>
      <x:c r="N48" s="16"/>
      <x:c r="O48" s="16"/>
      <x:c r="P48" s="16"/>
      <x:c r="Q48" s="17"/>
    </x:row>
    <x:row r="49" spans="1:17">
      <x:c r="A49" s="16"/>
      <x:c r="B49" s="177"/>
      <x:c r="C49" s="177"/>
      <x:c r="D49" s="175" t="s">
        <x:v>763</x:v>
      </x:c>
      <x:c r="E49" s="66" t="s">
        <x:v>631</x:v>
      </x:c>
      <x:c r="F49" s="66">
        <x:v>969</x:v>
      </x:c>
      <x:c r="G49" s="66" t="s">
        <x:v>620</x:v>
      </x:c>
      <x:c r="H49" s="71" t="s">
        <x:v>445</x:v>
      </x:c>
      <x:c r="I49" s="68">
        <x:v>14000</x:v>
      </x:c>
      <x:c r="J49" s="15"/>
      <x:c r="K49" s="16"/>
      <x:c r="L49" s="16"/>
      <x:c r="M49" s="16"/>
      <x:c r="N49" s="16"/>
      <x:c r="O49" s="16"/>
      <x:c r="P49" s="16"/>
      <x:c r="Q49" s="17"/>
    </x:row>
    <x:row r="50" spans="1:17">
      <x:c r="A50" s="16"/>
      <x:c r="B50" s="177"/>
      <x:c r="C50" s="177"/>
      <x:c r="D50" s="176"/>
      <x:c r="E50" s="66" t="s">
        <x:v>627</x:v>
      </x:c>
      <x:c r="F50" s="66">
        <x:v>969</x:v>
      </x:c>
      <x:c r="G50" s="66" t="s">
        <x:v>418</x:v>
      </x:c>
      <x:c r="H50" s="71" t="s">
        <x:v>566</x:v>
      </x:c>
      <x:c r="I50" s="68">
        <x:v>13900</x:v>
      </x:c>
      <x:c r="J50" s="15"/>
      <x:c r="K50" s="16"/>
      <x:c r="L50" s="16"/>
      <x:c r="M50" s="16"/>
      <x:c r="N50" s="16"/>
      <x:c r="O50" s="16"/>
      <x:c r="P50" s="16"/>
      <x:c r="Q50" s="17"/>
    </x:row>
    <x:row r="51" spans="1:17">
      <x:c r="A51" s="16"/>
      <x:c r="B51" s="177"/>
      <x:c r="C51" s="177"/>
      <x:c r="D51" s="66" t="s">
        <x:v>727</x:v>
      </x:c>
      <x:c r="E51" s="66"/>
      <x:c r="F51" s="66">
        <x:v>969</x:v>
      </x:c>
      <x:c r="G51" s="66" t="s">
        <x:v>512</x:v>
      </x:c>
      <x:c r="H51" s="71" t="s">
        <x:v>523</x:v>
      </x:c>
      <x:c r="I51" s="65">
        <x:v>7000</x:v>
      </x:c>
      <x:c r="J51" s="15"/>
      <x:c r="K51" s="16"/>
      <x:c r="L51" s="16"/>
      <x:c r="M51" s="16"/>
      <x:c r="N51" s="16"/>
      <x:c r="O51" s="16"/>
      <x:c r="P51" s="16"/>
      <x:c r="Q51" s="17"/>
    </x:row>
    <x:row r="52" spans="1:17">
      <x:c r="A52" s="16"/>
      <x:c r="B52" s="177"/>
      <x:c r="C52" s="177"/>
      <x:c r="D52" s="66" t="s">
        <x:v>535</x:v>
      </x:c>
      <x:c r="E52" s="66" t="s">
        <x:v>636</x:v>
      </x:c>
      <x:c r="F52" s="66">
        <x:v>969</x:v>
      </x:c>
      <x:c r="G52" s="66" t="s">
        <x:v>630</x:v>
      </x:c>
      <x:c r="H52" s="71" t="s">
        <x:v>576</x:v>
      </x:c>
      <x:c r="I52" s="65">
        <x:v>7300</x:v>
      </x:c>
      <x:c r="J52" s="15"/>
      <x:c r="K52" s="16"/>
      <x:c r="L52" s="16"/>
      <x:c r="M52" s="16"/>
      <x:c r="N52" s="16"/>
      <x:c r="O52" s="16"/>
      <x:c r="P52" s="16"/>
      <x:c r="Q52" s="17"/>
    </x:row>
    <x:row r="53" spans="1:17">
      <x:c r="A53" s="16"/>
      <x:c r="B53" s="177"/>
      <x:c r="C53" s="177"/>
      <x:c r="D53" s="175" t="s">
        <x:v>559</x:v>
      </x:c>
      <x:c r="E53" s="70" t="s">
        <x:v>627</x:v>
      </x:c>
      <x:c r="F53" s="70" t="s">
        <x:v>455</x:v>
      </x:c>
      <x:c r="G53" s="70" t="s">
        <x:v>747</x:v>
      </x:c>
      <x:c r="H53" s="74" t="s">
        <x:v>450</x:v>
      </x:c>
      <x:c r="I53" s="65"/>
      <x:c r="J53" s="15"/>
      <x:c r="K53" s="16"/>
      <x:c r="L53" s="16"/>
      <x:c r="M53" s="16"/>
      <x:c r="N53" s="16"/>
      <x:c r="O53" s="16"/>
      <x:c r="P53" s="16"/>
      <x:c r="Q53" s="17"/>
    </x:row>
    <x:row r="54" spans="1:17">
      <x:c r="A54" s="16"/>
      <x:c r="B54" s="177"/>
      <x:c r="C54" s="177"/>
      <x:c r="D54" s="176"/>
      <x:c r="E54" s="70" t="s">
        <x:v>616</x:v>
      </x:c>
      <x:c r="F54" s="70" t="s">
        <x:v>455</x:v>
      </x:c>
      <x:c r="G54" s="70" t="s">
        <x:v>331</x:v>
      </x:c>
      <x:c r="H54" s="74" t="s">
        <x:v>425</x:v>
      </x:c>
      <x:c r="I54" s="65"/>
      <x:c r="J54" s="15"/>
      <x:c r="K54" s="16"/>
      <x:c r="L54" s="16"/>
      <x:c r="M54" s="16"/>
      <x:c r="N54" s="16"/>
      <x:c r="O54" s="16"/>
      <x:c r="P54" s="16"/>
      <x:c r="Q54" s="17"/>
    </x:row>
    <x:row r="55" spans="1:17">
      <x:c r="A55" s="16"/>
      <x:c r="B55" s="177"/>
      <x:c r="C55" s="177"/>
      <x:c r="D55" s="66" t="s">
        <x:v>682</x:v>
      </x:c>
      <x:c r="E55" s="66" t="s">
        <x:v>627</x:v>
      </x:c>
      <x:c r="F55" s="66">
        <x:v>969</x:v>
      </x:c>
      <x:c r="G55" s="66" t="s">
        <x:v>421</x:v>
      </x:c>
      <x:c r="H55" s="71" t="s">
        <x:v>557</x:v>
      </x:c>
      <x:c r="I55" s="65">
        <x:v>8500</x:v>
      </x:c>
      <x:c r="J55" s="15"/>
      <x:c r="K55" s="16"/>
      <x:c r="L55" s="16"/>
      <x:c r="M55" s="16"/>
      <x:c r="N55" s="16"/>
      <x:c r="O55" s="16"/>
      <x:c r="P55" s="16"/>
      <x:c r="Q55" s="17"/>
    </x:row>
    <x:row r="56" spans="1:17">
      <x:c r="A56" s="16"/>
      <x:c r="B56" s="177"/>
      <x:c r="C56" s="177"/>
      <x:c r="D56" s="66" t="s">
        <x:v>1022</x:v>
      </x:c>
      <x:c r="E56" s="66" t="s">
        <x:v>636</x:v>
      </x:c>
      <x:c r="F56" s="66" t="s">
        <x:v>685</x:v>
      </x:c>
      <x:c r="G56" s="66" t="s">
        <x:v>264</x:v>
      </x:c>
      <x:c r="H56" s="71" t="s">
        <x:v>447</x:v>
      </x:c>
      <x:c r="I56" s="65">
        <x:v>10300</x:v>
      </x:c>
      <x:c r="J56" s="15"/>
      <x:c r="K56" s="16"/>
      <x:c r="L56" s="16"/>
      <x:c r="M56" s="16"/>
      <x:c r="N56" s="16"/>
      <x:c r="O56" s="16"/>
      <x:c r="P56" s="16"/>
      <x:c r="Q56" s="17"/>
    </x:row>
    <x:row r="57" spans="1:17">
      <x:c r="A57" s="16"/>
      <x:c r="B57" s="177"/>
      <x:c r="C57" s="177"/>
      <x:c r="D57" s="175" t="s">
        <x:v>638</x:v>
      </x:c>
      <x:c r="E57" s="175"/>
      <x:c r="F57" s="72">
        <x:v>628</x:v>
      </x:c>
      <x:c r="G57" s="72" t="s">
        <x:v>1109</x:v>
      </x:c>
      <x:c r="H57" s="73" t="s">
        <x:v>523</x:v>
      </x:c>
      <x:c r="I57" s="65">
        <x:v>4500</x:v>
      </x:c>
      <x:c r="J57" s="15"/>
      <x:c r="K57" s="16"/>
      <x:c r="L57" s="16"/>
      <x:c r="M57" s="16"/>
      <x:c r="N57" s="16"/>
      <x:c r="O57" s="16"/>
      <x:c r="P57" s="16"/>
      <x:c r="Q57" s="17"/>
    </x:row>
    <x:row r="58" spans="1:17">
      <x:c r="A58" s="16"/>
      <x:c r="B58" s="177"/>
      <x:c r="C58" s="177"/>
      <x:c r="D58" s="177"/>
      <x:c r="E58" s="177"/>
      <x:c r="F58" s="72" t="s">
        <x:v>540</x:v>
      </x:c>
      <x:c r="G58" s="72" t="s">
        <x:v>830</x:v>
      </x:c>
      <x:c r="H58" s="73" t="s">
        <x:v>523</x:v>
      </x:c>
      <x:c r="I58" s="65">
        <x:v>4500</x:v>
      </x:c>
      <x:c r="J58" s="15"/>
      <x:c r="K58" s="16"/>
      <x:c r="L58" s="16"/>
      <x:c r="M58" s="16"/>
      <x:c r="N58" s="16"/>
      <x:c r="O58" s="16"/>
      <x:c r="P58" s="16"/>
      <x:c r="Q58" s="17"/>
    </x:row>
    <x:row r="59" spans="1:17">
      <x:c r="A59" s="16"/>
      <x:c r="B59" s="177"/>
      <x:c r="C59" s="177"/>
      <x:c r="D59" s="177"/>
      <x:c r="E59" s="177"/>
      <x:c r="F59" s="66" t="s">
        <x:v>685</x:v>
      </x:c>
      <x:c r="G59" s="66" t="s">
        <x:v>621</x:v>
      </x:c>
      <x:c r="H59" s="71" t="s">
        <x:v>523</x:v>
      </x:c>
      <x:c r="I59" s="65">
        <x:v>5000</x:v>
      </x:c>
      <x:c r="J59" s="15"/>
      <x:c r="K59" s="16"/>
      <x:c r="L59" s="16"/>
      <x:c r="M59" s="16"/>
      <x:c r="N59" s="16"/>
      <x:c r="O59" s="16"/>
      <x:c r="P59" s="16"/>
      <x:c r="Q59" s="17"/>
    </x:row>
    <x:row r="60" spans="1:17">
      <x:c r="A60" s="16"/>
      <x:c r="B60" s="177"/>
      <x:c r="C60" s="177"/>
      <x:c r="D60" s="176"/>
      <x:c r="E60" s="176"/>
      <x:c r="F60" s="66">
        <x:v>969</x:v>
      </x:c>
      <x:c r="G60" s="66" t="s">
        <x:v>512</x:v>
      </x:c>
      <x:c r="H60" s="71" t="s">
        <x:v>523</x:v>
      </x:c>
      <x:c r="I60" s="65">
        <x:v>5000</x:v>
      </x:c>
      <x:c r="J60" s="15"/>
      <x:c r="K60" s="16"/>
      <x:c r="L60" s="16"/>
      <x:c r="M60" s="16"/>
      <x:c r="N60" s="16"/>
      <x:c r="O60" s="16"/>
      <x:c r="P60" s="16"/>
      <x:c r="Q60" s="17"/>
    </x:row>
    <x:row r="61" spans="1:17">
      <x:c r="A61" s="16"/>
      <x:c r="B61" s="177"/>
      <x:c r="C61" s="177"/>
      <x:c r="D61" s="175" t="s">
        <x:v>607</x:v>
      </x:c>
      <x:c r="E61" s="175" t="s">
        <x:v>636</x:v>
      </x:c>
      <x:c r="F61" s="66">
        <x:v>1311</x:v>
      </x:c>
      <x:c r="G61" s="66" t="s">
        <x:v>439</x:v>
      </x:c>
      <x:c r="H61" s="71" t="s">
        <x:v>478</x:v>
      </x:c>
      <x:c r="I61" s="65">
        <x:v>9000</x:v>
      </x:c>
      <x:c r="J61" s="15"/>
      <x:c r="K61" s="16"/>
      <x:c r="L61" s="16"/>
      <x:c r="M61" s="16"/>
      <x:c r="N61" s="16"/>
      <x:c r="O61" s="16"/>
      <x:c r="P61" s="16"/>
      <x:c r="Q61" s="17"/>
    </x:row>
    <x:row r="62" spans="1:17">
      <x:c r="A62" s="16"/>
      <x:c r="B62" s="177"/>
      <x:c r="C62" s="177"/>
      <x:c r="D62" s="177"/>
      <x:c r="E62" s="177"/>
      <x:c r="F62" s="66" t="s">
        <x:v>685</x:v>
      </x:c>
      <x:c r="G62" s="66" t="s">
        <x:v>1086</x:v>
      </x:c>
      <x:c r="H62" s="71" t="s">
        <x:v>409</x:v>
      </x:c>
      <x:c r="I62" s="65">
        <x:v>9000</x:v>
      </x:c>
      <x:c r="J62" s="15"/>
      <x:c r="K62" s="16"/>
      <x:c r="L62" s="16"/>
      <x:c r="M62" s="16"/>
      <x:c r="N62" s="16"/>
      <x:c r="O62" s="16"/>
      <x:c r="P62" s="16"/>
      <x:c r="Q62" s="17"/>
    </x:row>
    <x:row r="63" spans="1:17">
      <x:c r="A63" s="16"/>
      <x:c r="B63" s="177"/>
      <x:c r="C63" s="176"/>
      <x:c r="D63" s="176"/>
      <x:c r="E63" s="176"/>
      <x:c r="F63" s="66" t="s">
        <x:v>540</x:v>
      </x:c>
      <x:c r="G63" s="66" t="s">
        <x:v>581</x:v>
      </x:c>
      <x:c r="H63" s="71" t="s">
        <x:v>441</x:v>
      </x:c>
      <x:c r="I63" s="65">
        <x:v>9300</x:v>
      </x:c>
      <x:c r="J63" s="15"/>
      <x:c r="K63" s="16"/>
      <x:c r="L63" s="16"/>
      <x:c r="M63" s="16"/>
      <x:c r="N63" s="16"/>
      <x:c r="O63" s="16"/>
      <x:c r="P63" s="16"/>
      <x:c r="Q63" s="17"/>
    </x:row>
    <x:row r="64" spans="1:17">
      <x:c r="A64" s="16"/>
      <x:c r="B64" s="177"/>
      <x:c r="C64" s="175" t="s">
        <x:v>1101</x:v>
      </x:c>
      <x:c r="D64" s="175" t="s">
        <x:v>624</x:v>
      </x:c>
      <x:c r="E64" s="175" t="s">
        <x:v>627</x:v>
      </x:c>
      <x:c r="F64" s="66" t="s">
        <x:v>618</x:v>
      </x:c>
      <x:c r="G64" s="66" t="s">
        <x:v>432</x:v>
      </x:c>
      <x:c r="H64" s="71" t="s">
        <x:v>486</x:v>
      </x:c>
      <x:c r="I64" s="68">
        <x:v>17000</x:v>
      </x:c>
      <x:c r="J64" s="15"/>
      <x:c r="K64" s="16"/>
      <x:c r="L64" s="16"/>
      <x:c r="M64" s="16"/>
      <x:c r="N64" s="16"/>
      <x:c r="O64" s="16"/>
      <x:c r="P64" s="16"/>
      <x:c r="Q64" s="17"/>
    </x:row>
    <x:row r="65" spans="1:17">
      <x:c r="A65" s="16"/>
      <x:c r="B65" s="177"/>
      <x:c r="C65" s="177"/>
      <x:c r="D65" s="177"/>
      <x:c r="E65" s="177"/>
      <x:c r="F65" s="66" t="s">
        <x:v>625</x:v>
      </x:c>
      <x:c r="G65" s="70" t="s">
        <x:v>418</x:v>
      </x:c>
      <x:c r="H65" s="71" t="s">
        <x:v>464</x:v>
      </x:c>
      <x:c r="I65" s="68">
        <x:v>17000</x:v>
      </x:c>
      <x:c r="J65" s="15"/>
      <x:c r="K65" s="16"/>
      <x:c r="L65" s="16"/>
      <x:c r="M65" s="16"/>
      <x:c r="N65" s="16"/>
      <x:c r="O65" s="16"/>
      <x:c r="P65" s="16"/>
      <x:c r="Q65" s="17"/>
    </x:row>
    <x:row r="66" spans="1:17">
      <x:c r="A66" s="16"/>
      <x:c r="B66" s="177"/>
      <x:c r="C66" s="177"/>
      <x:c r="D66" s="176"/>
      <x:c r="E66" s="176"/>
      <x:c r="F66" s="66" t="s">
        <x:v>670</x:v>
      </x:c>
      <x:c r="G66" s="66" t="s">
        <x:v>432</x:v>
      </x:c>
      <x:c r="H66" s="71" t="s">
        <x:v>442</x:v>
      </x:c>
      <x:c r="I66" s="65">
        <x:v>21000</x:v>
      </x:c>
      <x:c r="J66" s="15"/>
      <x:c r="K66" s="16"/>
      <x:c r="L66" s="16"/>
      <x:c r="M66" s="16"/>
      <x:c r="N66" s="16"/>
      <x:c r="O66" s="16"/>
      <x:c r="P66" s="16"/>
      <x:c r="Q66" s="17"/>
    </x:row>
    <x:row r="67" spans="1:17">
      <x:c r="A67" s="16"/>
      <x:c r="B67" s="177"/>
      <x:c r="C67" s="177"/>
      <x:c r="D67" s="66" t="s">
        <x:v>524</x:v>
      </x:c>
      <x:c r="E67" s="66" t="s">
        <x:v>626</x:v>
      </x:c>
      <x:c r="F67" s="66" t="s">
        <x:v>670</x:v>
      </x:c>
      <x:c r="G67" s="66" t="s">
        <x:v>512</x:v>
      </x:c>
      <x:c r="H67" s="71" t="s">
        <x:v>556</x:v>
      </x:c>
      <x:c r="I67" s="65">
        <x:v>2100</x:v>
      </x:c>
      <x:c r="J67" s="15"/>
      <x:c r="K67" s="16"/>
      <x:c r="L67" s="16"/>
      <x:c r="M67" s="16"/>
      <x:c r="N67" s="16"/>
      <x:c r="O67" s="16"/>
      <x:c r="P67" s="16"/>
      <x:c r="Q67" s="17"/>
    </x:row>
    <x:row r="68" spans="1:17">
      <x:c r="A68" s="16"/>
      <x:c r="B68" s="177"/>
      <x:c r="C68" s="177"/>
      <x:c r="D68" s="175" t="s">
        <x:v>547</x:v>
      </x:c>
      <x:c r="E68" s="175" t="s">
        <x:v>636</x:v>
      </x:c>
      <x:c r="F68" s="66" t="s">
        <x:v>618</x:v>
      </x:c>
      <x:c r="G68" s="66" t="s">
        <x:v>469</x:v>
      </x:c>
      <x:c r="H68" s="71" t="s">
        <x:v>461</x:v>
      </x:c>
      <x:c r="I68" s="65">
        <x:v>9200</x:v>
      </x:c>
      <x:c r="J68" s="15"/>
      <x:c r="K68" s="16"/>
      <x:c r="L68" s="16"/>
      <x:c r="M68" s="16"/>
      <x:c r="N68" s="16"/>
      <x:c r="O68" s="16"/>
      <x:c r="P68" s="16"/>
      <x:c r="Q68" s="17"/>
    </x:row>
    <x:row r="69" spans="1:17">
      <x:c r="A69" s="16"/>
      <x:c r="B69" s="177"/>
      <x:c r="C69" s="177"/>
      <x:c r="D69" s="177"/>
      <x:c r="E69" s="177"/>
      <x:c r="F69" s="66" t="s">
        <x:v>625</x:v>
      </x:c>
      <x:c r="G69" s="66" t="s">
        <x:v>664</x:v>
      </x:c>
      <x:c r="H69" s="71" t="s">
        <x:v>479</x:v>
      </x:c>
      <x:c r="I69" s="65">
        <x:v>9200</x:v>
      </x:c>
      <x:c r="J69" s="15"/>
      <x:c r="K69" s="16"/>
      <x:c r="L69" s="16"/>
      <x:c r="M69" s="16"/>
      <x:c r="N69" s="16"/>
      <x:c r="O69" s="16"/>
      <x:c r="P69" s="16"/>
      <x:c r="Q69" s="17"/>
    </x:row>
    <x:row r="70" spans="1:17">
      <x:c r="A70" s="16"/>
      <x:c r="B70" s="177"/>
      <x:c r="C70" s="177"/>
      <x:c r="D70" s="177"/>
      <x:c r="E70" s="177"/>
      <x:c r="F70" s="66" t="s">
        <x:v>670</x:v>
      </x:c>
      <x:c r="G70" s="66" t="s">
        <x:v>836</x:v>
      </x:c>
      <x:c r="H70" s="71" t="s">
        <x:v>452</x:v>
      </x:c>
      <x:c r="I70" s="65">
        <x:v>8900</x:v>
      </x:c>
      <x:c r="J70" s="15"/>
      <x:c r="K70" s="16"/>
      <x:c r="L70" s="16"/>
      <x:c r="M70" s="16"/>
      <x:c r="N70" s="16"/>
      <x:c r="O70" s="16"/>
      <x:c r="P70" s="16"/>
      <x:c r="Q70" s="17"/>
    </x:row>
    <x:row r="71" spans="1:17">
      <x:c r="A71" s="16"/>
      <x:c r="B71" s="177"/>
      <x:c r="C71" s="177"/>
      <x:c r="D71" s="176"/>
      <x:c r="E71" s="176"/>
      <x:c r="F71" s="66" t="s">
        <x:v>635</x:v>
      </x:c>
      <x:c r="G71" s="66" t="s">
        <x:v>512</x:v>
      </x:c>
      <x:c r="H71" s="71" t="s">
        <x:v>435</x:v>
      </x:c>
      <x:c r="I71" s="65">
        <x:v>9000</x:v>
      </x:c>
      <x:c r="J71" s="15"/>
      <x:c r="K71" s="16"/>
      <x:c r="L71" s="16"/>
      <x:c r="M71" s="16"/>
      <x:c r="N71" s="16"/>
      <x:c r="O71" s="16"/>
      <x:c r="P71" s="16"/>
      <x:c r="Q71" s="17"/>
    </x:row>
    <x:row r="72" spans="1:17">
      <x:c r="A72" s="16"/>
      <x:c r="B72" s="177"/>
      <x:c r="C72" s="177"/>
      <x:c r="D72" s="66" t="s">
        <x:v>1027</x:v>
      </x:c>
      <x:c r="E72" s="66"/>
      <x:c r="F72" s="66" t="s">
        <x:v>625</x:v>
      </x:c>
      <x:c r="G72" s="66" t="s">
        <x:v>630</x:v>
      </x:c>
      <x:c r="H72" s="71" t="s">
        <x:v>437</x:v>
      </x:c>
      <x:c r="I72" s="68">
        <x:v>7500</x:v>
      </x:c>
      <x:c r="J72" s="15"/>
      <x:c r="K72" s="16"/>
      <x:c r="L72" s="16"/>
      <x:c r="M72" s="16"/>
      <x:c r="N72" s="16"/>
      <x:c r="O72" s="16"/>
      <x:c r="P72" s="16"/>
      <x:c r="Q72" s="17"/>
    </x:row>
    <x:row r="73" spans="1:17">
      <x:c r="A73" s="16"/>
      <x:c r="B73" s="177"/>
      <x:c r="C73" s="177"/>
      <x:c r="D73" s="66" t="s">
        <x:v>580</x:v>
      </x:c>
      <x:c r="E73" s="66" t="s">
        <x:v>627</x:v>
      </x:c>
      <x:c r="F73" s="66" t="s">
        <x:v>625</x:v>
      </x:c>
      <x:c r="G73" s="66" t="s">
        <x:v>432</x:v>
      </x:c>
      <x:c r="H73" s="71" t="s">
        <x:v>553</x:v>
      </x:c>
      <x:c r="I73" s="68">
        <x:v>15800</x:v>
      </x:c>
      <x:c r="J73" s="15"/>
      <x:c r="K73" s="16"/>
      <x:c r="L73" s="16"/>
      <x:c r="M73" s="16"/>
      <x:c r="N73" s="16"/>
      <x:c r="O73" s="16"/>
      <x:c r="P73" s="16"/>
      <x:c r="Q73" s="17"/>
    </x:row>
    <x:row r="74" spans="1:17">
      <x:c r="A74" s="16"/>
      <x:c r="B74" s="177"/>
      <x:c r="C74" s="177"/>
      <x:c r="D74" s="66" t="s">
        <x:v>650</x:v>
      </x:c>
      <x:c r="E74" s="66" t="s">
        <x:v>627</x:v>
      </x:c>
      <x:c r="F74" s="66" t="s">
        <x:v>670</x:v>
      </x:c>
      <x:c r="G74" s="70" t="s">
        <x:v>850</x:v>
      </x:c>
      <x:c r="H74" s="71" t="s">
        <x:v>472</x:v>
      </x:c>
      <x:c r="I74" s="68">
        <x:v>17200</x:v>
      </x:c>
      <x:c r="J74" s="15"/>
      <x:c r="K74" s="16"/>
      <x:c r="L74" s="16"/>
      <x:c r="M74" s="16"/>
      <x:c r="N74" s="16"/>
      <x:c r="O74" s="16"/>
      <x:c r="P74" s="16"/>
      <x:c r="Q74" s="17"/>
    </x:row>
    <x:row r="75" spans="1:17">
      <x:c r="A75" s="16"/>
      <x:c r="B75" s="177"/>
      <x:c r="C75" s="177"/>
      <x:c r="D75" s="66" t="s">
        <x:v>763</x:v>
      </x:c>
      <x:c r="E75" s="66" t="s">
        <x:v>627</x:v>
      </x:c>
      <x:c r="F75" s="66" t="s">
        <x:v>625</x:v>
      </x:c>
      <x:c r="G75" s="66" t="s">
        <x:v>512</x:v>
      </x:c>
      <x:c r="H75" s="71" t="s">
        <x:v>509</x:v>
      </x:c>
      <x:c r="I75" s="65">
        <x:v>14200</x:v>
      </x:c>
      <x:c r="J75" s="15"/>
      <x:c r="K75" s="16"/>
      <x:c r="L75" s="16"/>
      <x:c r="M75" s="16"/>
      <x:c r="N75" s="16"/>
      <x:c r="O75" s="16"/>
      <x:c r="P75" s="16"/>
      <x:c r="Q75" s="17"/>
    </x:row>
    <x:row r="76" spans="1:17">
      <x:c r="A76" s="16"/>
      <x:c r="B76" s="177"/>
      <x:c r="C76" s="177"/>
      <x:c r="D76" s="175" t="s">
        <x:v>727</x:v>
      </x:c>
      <x:c r="E76" s="175"/>
      <x:c r="F76" s="66" t="s">
        <x:v>458</x:v>
      </x:c>
      <x:c r="G76" s="66" t="s">
        <x:v>1110</x:v>
      </x:c>
      <x:c r="H76" s="71" t="s">
        <x:v>649</x:v>
      </x:c>
      <x:c r="I76" s="65">
        <x:v>6900</x:v>
      </x:c>
      <x:c r="J76" s="15"/>
      <x:c r="K76" s="16"/>
      <x:c r="L76" s="16"/>
      <x:c r="M76" s="16"/>
      <x:c r="N76" s="16"/>
      <x:c r="O76" s="16"/>
      <x:c r="P76" s="16"/>
      <x:c r="Q76" s="17"/>
    </x:row>
    <x:row r="77" spans="1:17">
      <x:c r="A77" s="16"/>
      <x:c r="B77" s="177"/>
      <x:c r="C77" s="177"/>
      <x:c r="D77" s="177"/>
      <x:c r="E77" s="177"/>
      <x:c r="F77" s="66" t="s">
        <x:v>625</x:v>
      </x:c>
      <x:c r="G77" s="66" t="s">
        <x:v>621</x:v>
      </x:c>
      <x:c r="H77" s="71" t="s">
        <x:v>649</x:v>
      </x:c>
      <x:c r="I77" s="65">
        <x:v>7000</x:v>
      </x:c>
      <x:c r="J77" s="15"/>
      <x:c r="K77" s="16"/>
      <x:c r="L77" s="16"/>
      <x:c r="M77" s="16"/>
      <x:c r="N77" s="16"/>
      <x:c r="O77" s="16"/>
      <x:c r="P77" s="16"/>
      <x:c r="Q77" s="17"/>
    </x:row>
    <x:row r="78" spans="1:17">
      <x:c r="A78" s="16"/>
      <x:c r="B78" s="177"/>
      <x:c r="C78" s="177"/>
      <x:c r="D78" s="176"/>
      <x:c r="E78" s="176"/>
      <x:c r="F78" s="66" t="s">
        <x:v>670</x:v>
      </x:c>
      <x:c r="G78" s="66" t="s">
        <x:v>829</x:v>
      </x:c>
      <x:c r="H78" s="71" t="s">
        <x:v>649</x:v>
      </x:c>
      <x:c r="I78" s="65">
        <x:v>6800</x:v>
      </x:c>
      <x:c r="J78" s="15"/>
      <x:c r="K78" s="16"/>
      <x:c r="L78" s="16"/>
      <x:c r="M78" s="16"/>
      <x:c r="N78" s="16"/>
      <x:c r="O78" s="16"/>
      <x:c r="P78" s="16"/>
      <x:c r="Q78" s="17"/>
    </x:row>
    <x:row r="79" spans="1:17">
      <x:c r="A79" s="16"/>
      <x:c r="B79" s="177"/>
      <x:c r="C79" s="177"/>
      <x:c r="D79" s="175" t="s">
        <x:v>559</x:v>
      </x:c>
      <x:c r="E79" s="66" t="s">
        <x:v>627</x:v>
      </x:c>
      <x:c r="F79" s="66" t="s">
        <x:v>618</x:v>
      </x:c>
      <x:c r="G79" s="66" t="s">
        <x:v>664</x:v>
      </x:c>
      <x:c r="H79" s="71" t="s">
        <x:v>489</x:v>
      </x:c>
      <x:c r="I79" s="65">
        <x:v>13500</x:v>
      </x:c>
      <x:c r="J79" s="15"/>
      <x:c r="K79" s="16"/>
      <x:c r="L79" s="16"/>
      <x:c r="M79" s="16"/>
      <x:c r="N79" s="16"/>
      <x:c r="O79" s="16"/>
      <x:c r="P79" s="16"/>
      <x:c r="Q79" s="17"/>
    </x:row>
    <x:row r="80" spans="1:17">
      <x:c r="A80" s="16"/>
      <x:c r="B80" s="177"/>
      <x:c r="C80" s="177"/>
      <x:c r="D80" s="176"/>
      <x:c r="E80" s="66" t="s">
        <x:v>578</x:v>
      </x:c>
      <x:c r="F80" s="66" t="s">
        <x:v>670</x:v>
      </x:c>
      <x:c r="G80" s="66" t="s">
        <x:v>1117</x:v>
      </x:c>
      <x:c r="H80" s="71" t="s">
        <x:v>600</x:v>
      </x:c>
      <x:c r="I80" s="65">
        <x:v>13300</x:v>
      </x:c>
      <x:c r="J80" s="15"/>
      <x:c r="K80" s="16"/>
      <x:c r="L80" s="16"/>
      <x:c r="M80" s="16"/>
      <x:c r="N80" s="16"/>
      <x:c r="O80" s="16"/>
      <x:c r="P80" s="16"/>
      <x:c r="Q80" s="17"/>
    </x:row>
    <x:row r="81" spans="1:17">
      <x:c r="A81" s="16"/>
      <x:c r="B81" s="177"/>
      <x:c r="C81" s="177"/>
      <x:c r="D81" s="175" t="s">
        <x:v>660</x:v>
      </x:c>
      <x:c r="E81" s="175" t="s">
        <x:v>627</x:v>
      </x:c>
      <x:c r="F81" s="66" t="s">
        <x:v>618</x:v>
      </x:c>
      <x:c r="G81" s="66" t="s">
        <x:v>805</x:v>
      </x:c>
      <x:c r="H81" s="71" t="s">
        <x:v>463</x:v>
      </x:c>
      <x:c r="I81" s="65">
        <x:v>13800</x:v>
      </x:c>
      <x:c r="J81" s="15"/>
      <x:c r="K81" s="16"/>
      <x:c r="L81" s="16"/>
      <x:c r="M81" s="16"/>
      <x:c r="N81" s="16"/>
      <x:c r="O81" s="16"/>
      <x:c r="P81" s="16"/>
      <x:c r="Q81" s="17"/>
    </x:row>
    <x:row r="82" spans="1:17">
      <x:c r="A82" s="16"/>
      <x:c r="B82" s="177"/>
      <x:c r="C82" s="177"/>
      <x:c r="D82" s="177"/>
      <x:c r="E82" s="177"/>
      <x:c r="F82" s="66" t="s">
        <x:v>670</x:v>
      </x:c>
      <x:c r="G82" s="66" t="s">
        <x:v>639</x:v>
      </x:c>
      <x:c r="H82" s="71" t="s">
        <x:v>462</x:v>
      </x:c>
      <x:c r="I82" s="65">
        <x:v>14200</x:v>
      </x:c>
      <x:c r="J82" s="15"/>
      <x:c r="K82" s="16"/>
      <x:c r="L82" s="16"/>
      <x:c r="M82" s="16"/>
      <x:c r="N82" s="16"/>
      <x:c r="O82" s="16"/>
      <x:c r="P82" s="16"/>
      <x:c r="Q82" s="17"/>
    </x:row>
    <x:row r="83" spans="1:17">
      <x:c r="A83" s="16"/>
      <x:c r="B83" s="177"/>
      <x:c r="C83" s="177"/>
      <x:c r="D83" s="176"/>
      <x:c r="E83" s="176"/>
      <x:c r="F83" s="66" t="s">
        <x:v>635</x:v>
      </x:c>
      <x:c r="G83" s="66" t="s">
        <x:v>432</x:v>
      </x:c>
      <x:c r="H83" s="71" t="s">
        <x:v>441</x:v>
      </x:c>
      <x:c r="I83" s="65">
        <x:v>14000</x:v>
      </x:c>
      <x:c r="J83" s="15"/>
      <x:c r="K83" s="16"/>
      <x:c r="L83" s="16"/>
      <x:c r="M83" s="16"/>
      <x:c r="N83" s="16"/>
      <x:c r="O83" s="16"/>
      <x:c r="P83" s="16"/>
      <x:c r="Q83" s="17"/>
    </x:row>
    <x:row r="84" spans="1:17">
      <x:c r="A84" s="16"/>
      <x:c r="B84" s="177"/>
      <x:c r="C84" s="177"/>
      <x:c r="D84" s="175" t="s">
        <x:v>682</x:v>
      </x:c>
      <x:c r="E84" s="66" t="s">
        <x:v>627</x:v>
      </x:c>
      <x:c r="F84" s="66" t="s">
        <x:v>670</x:v>
      </x:c>
      <x:c r="G84" s="66" t="s">
        <x:v>565</x:v>
      </x:c>
      <x:c r="H84" s="71">
        <x:v>30.010000000000002</x:v>
      </x:c>
      <x:c r="I84" s="65">
        <x:v>8000</x:v>
      </x:c>
      <x:c r="J84" s="15"/>
      <x:c r="K84" s="16"/>
      <x:c r="L84" s="16"/>
      <x:c r="M84" s="16"/>
      <x:c r="N84" s="16"/>
      <x:c r="O84" s="16"/>
      <x:c r="P84" s="16"/>
      <x:c r="Q84" s="17"/>
    </x:row>
    <x:row r="85" spans="1:17">
      <x:c r="A85" s="16"/>
      <x:c r="B85" s="177"/>
      <x:c r="C85" s="177"/>
      <x:c r="D85" s="177"/>
      <x:c r="E85" s="175" t="s">
        <x:v>616</x:v>
      </x:c>
      <x:c r="F85" s="66" t="s">
        <x:v>618</x:v>
      </x:c>
      <x:c r="G85" s="66" t="s">
        <x:v>1111</x:v>
      </x:c>
      <x:c r="H85" s="71" t="s">
        <x:v>492</x:v>
      </x:c>
      <x:c r="I85" s="65">
        <x:v>10900</x:v>
      </x:c>
      <x:c r="J85" s="15"/>
      <x:c r="K85" s="16"/>
      <x:c r="L85" s="16"/>
      <x:c r="M85" s="16"/>
      <x:c r="N85" s="16"/>
      <x:c r="O85" s="16"/>
      <x:c r="P85" s="16"/>
      <x:c r="Q85" s="17"/>
    </x:row>
    <x:row r="86" spans="1:17">
      <x:c r="A86" s="16"/>
      <x:c r="B86" s="177"/>
      <x:c r="C86" s="177"/>
      <x:c r="D86" s="177"/>
      <x:c r="E86" s="176"/>
      <x:c r="F86" s="66" t="s">
        <x:v>635</x:v>
      </x:c>
      <x:c r="G86" s="66" t="s">
        <x:v>1019</x:v>
      </x:c>
      <x:c r="H86" s="71" t="s">
        <x:v>574</x:v>
      </x:c>
      <x:c r="I86" s="65">
        <x:v>7800</x:v>
      </x:c>
      <x:c r="J86" s="15"/>
      <x:c r="K86" s="16"/>
      <x:c r="L86" s="16"/>
      <x:c r="M86" s="16"/>
      <x:c r="N86" s="16"/>
      <x:c r="O86" s="16"/>
      <x:c r="P86" s="16"/>
      <x:c r="Q86" s="17"/>
    </x:row>
    <x:row r="87" spans="1:17">
      <x:c r="A87" s="16"/>
      <x:c r="B87" s="177"/>
      <x:c r="C87" s="177"/>
      <x:c r="D87" s="176"/>
      <x:c r="E87" s="66" t="s">
        <x:v>578</x:v>
      </x:c>
      <x:c r="F87" s="66" t="s">
        <x:v>670</x:v>
      </x:c>
      <x:c r="G87" s="66" t="s">
        <x:v>565</x:v>
      </x:c>
      <x:c r="H87" s="71" t="s">
        <x:v>568</x:v>
      </x:c>
      <x:c r="I87" s="65">
        <x:v>8000</x:v>
      </x:c>
      <x:c r="J87" s="15"/>
      <x:c r="K87" s="16"/>
      <x:c r="L87" s="16"/>
      <x:c r="M87" s="16"/>
      <x:c r="N87" s="16"/>
      <x:c r="O87" s="16"/>
      <x:c r="P87" s="16"/>
      <x:c r="Q87" s="17"/>
    </x:row>
    <x:row r="88" spans="1:17">
      <x:c r="A88" s="16"/>
      <x:c r="B88" s="177"/>
      <x:c r="C88" s="177"/>
      <x:c r="D88" s="66" t="s">
        <x:v>539</x:v>
      </x:c>
      <x:c r="E88" s="66" t="s">
        <x:v>636</x:v>
      </x:c>
      <x:c r="F88" s="66" t="s">
        <x:v>625</x:v>
      </x:c>
      <x:c r="G88" s="66" t="s">
        <x:v>630</x:v>
      </x:c>
      <x:c r="H88" s="71" t="s">
        <x:v>562</x:v>
      </x:c>
      <x:c r="I88" s="65">
        <x:v>7000</x:v>
      </x:c>
      <x:c r="J88" s="15"/>
      <x:c r="K88" s="16"/>
      <x:c r="L88" s="16"/>
      <x:c r="M88" s="16"/>
      <x:c r="N88" s="16"/>
      <x:c r="O88" s="16"/>
      <x:c r="P88" s="16"/>
      <x:c r="Q88" s="17"/>
    </x:row>
    <x:row r="89" spans="1:17">
      <x:c r="A89" s="16"/>
      <x:c r="B89" s="177"/>
      <x:c r="C89" s="177"/>
      <x:c r="D89" s="175" t="s">
        <x:v>764</x:v>
      </x:c>
      <x:c r="E89" s="175" t="s">
        <x:v>627</x:v>
      </x:c>
      <x:c r="F89" s="66" t="s">
        <x:v>618</x:v>
      </x:c>
      <x:c r="G89" s="66" t="s">
        <x:v>1086</x:v>
      </x:c>
      <x:c r="H89" s="71" t="s">
        <x:v>485</x:v>
      </x:c>
      <x:c r="I89" s="65">
        <x:v>17500</x:v>
      </x:c>
      <x:c r="J89" s="15"/>
      <x:c r="K89" s="16"/>
      <x:c r="L89" s="16"/>
      <x:c r="M89" s="16"/>
      <x:c r="N89" s="16"/>
      <x:c r="O89" s="16"/>
      <x:c r="P89" s="16"/>
      <x:c r="Q89" s="17"/>
    </x:row>
    <x:row r="90" spans="1:17">
      <x:c r="A90" s="16"/>
      <x:c r="B90" s="177"/>
      <x:c r="C90" s="177"/>
      <x:c r="D90" s="177"/>
      <x:c r="E90" s="177"/>
      <x:c r="F90" s="66" t="s">
        <x:v>625</x:v>
      </x:c>
      <x:c r="G90" s="66" t="s">
        <x:v>630</x:v>
      </x:c>
      <x:c r="H90" s="71" t="s">
        <x:v>444</x:v>
      </x:c>
      <x:c r="I90" s="65">
        <x:v>17500</x:v>
      </x:c>
      <x:c r="J90" s="15"/>
      <x:c r="K90" s="16"/>
      <x:c r="L90" s="16"/>
      <x:c r="M90" s="16"/>
      <x:c r="N90" s="16"/>
      <x:c r="O90" s="16"/>
      <x:c r="P90" s="16"/>
      <x:c r="Q90" s="17"/>
    </x:row>
    <x:row r="91" spans="1:17">
      <x:c r="A91" s="16"/>
      <x:c r="B91" s="177"/>
      <x:c r="C91" s="177"/>
      <x:c r="D91" s="177"/>
      <x:c r="E91" s="176"/>
      <x:c r="F91" s="66" t="s">
        <x:v>635</x:v>
      </x:c>
      <x:c r="G91" s="66" t="s">
        <x:v>664</x:v>
      </x:c>
      <x:c r="H91" s="71" t="s">
        <x:v>496</x:v>
      </x:c>
      <x:c r="I91" s="65">
        <x:v>17500</x:v>
      </x:c>
      <x:c r="J91" s="15"/>
      <x:c r="K91" s="16"/>
      <x:c r="L91" s="16"/>
      <x:c r="M91" s="16"/>
      <x:c r="N91" s="16"/>
      <x:c r="O91" s="16"/>
      <x:c r="P91" s="16"/>
      <x:c r="Q91" s="17"/>
    </x:row>
    <x:row r="92" spans="1:17">
      <x:c r="A92" s="16"/>
      <x:c r="B92" s="177"/>
      <x:c r="C92" s="177"/>
      <x:c r="D92" s="176"/>
      <x:c r="E92" s="66" t="s">
        <x:v>636</x:v>
      </x:c>
      <x:c r="F92" s="66" t="s">
        <x:v>618</x:v>
      </x:c>
      <x:c r="G92" s="66" t="s">
        <x:v>1107</x:v>
      </x:c>
      <x:c r="H92" s="71" t="s">
        <x:v>505</x:v>
      </x:c>
      <x:c r="I92" s="65">
        <x:v>17000</x:v>
      </x:c>
      <x:c r="J92" s="15"/>
      <x:c r="K92" s="16"/>
      <x:c r="L92" s="16"/>
      <x:c r="M92" s="16"/>
      <x:c r="N92" s="16"/>
      <x:c r="O92" s="16"/>
      <x:c r="P92" s="16"/>
      <x:c r="Q92" s="17"/>
    </x:row>
    <x:row r="93" spans="1:17">
      <x:c r="A93" s="16"/>
      <x:c r="B93" s="177"/>
      <x:c r="C93" s="177"/>
      <x:c r="D93" s="175" t="s">
        <x:v>638</x:v>
      </x:c>
      <x:c r="E93" s="175"/>
      <x:c r="F93" s="66" t="s">
        <x:v>625</x:v>
      </x:c>
      <x:c r="G93" s="66" t="s">
        <x:v>621</x:v>
      </x:c>
      <x:c r="H93" s="71" t="s">
        <x:v>649</x:v>
      </x:c>
      <x:c r="I93" s="65">
        <x:v>4500</x:v>
      </x:c>
      <x:c r="J93" s="15"/>
      <x:c r="K93" s="16"/>
      <x:c r="L93" s="16"/>
      <x:c r="M93" s="16"/>
      <x:c r="N93" s="16"/>
      <x:c r="O93" s="16"/>
      <x:c r="P93" s="16"/>
      <x:c r="Q93" s="17"/>
    </x:row>
    <x:row r="94" spans="1:17">
      <x:c r="A94" s="16"/>
      <x:c r="B94" s="177"/>
      <x:c r="C94" s="177"/>
      <x:c r="D94" s="176"/>
      <x:c r="E94" s="176"/>
      <x:c r="F94" s="66" t="s">
        <x:v>670</x:v>
      </x:c>
      <x:c r="G94" s="66" t="s">
        <x:v>512</x:v>
      </x:c>
      <x:c r="H94" s="71" t="s">
        <x:v>649</x:v>
      </x:c>
      <x:c r="I94" s="65">
        <x:v>4500</x:v>
      </x:c>
      <x:c r="J94" s="15"/>
      <x:c r="K94" s="16"/>
      <x:c r="L94" s="16"/>
      <x:c r="M94" s="16"/>
      <x:c r="N94" s="16"/>
      <x:c r="O94" s="16"/>
      <x:c r="P94" s="16"/>
      <x:c r="Q94" s="17"/>
    </x:row>
    <x:row r="95" spans="1:17">
      <x:c r="A95" s="16"/>
      <x:c r="B95" s="177"/>
      <x:c r="C95" s="176"/>
      <x:c r="D95" s="66" t="s">
        <x:v>607</x:v>
      </x:c>
      <x:c r="E95" s="66" t="s">
        <x:v>636</x:v>
      </x:c>
      <x:c r="F95" s="66" t="s">
        <x:v>635</x:v>
      </x:c>
      <x:c r="G95" s="66" t="s">
        <x:v>1003</x:v>
      </x:c>
      <x:c r="H95" s="71" t="s">
        <x:v>605</x:v>
      </x:c>
      <x:c r="I95" s="68">
        <x:v>11200</x:v>
      </x:c>
      <x:c r="J95" s="15"/>
      <x:c r="K95" s="16"/>
      <x:c r="L95" s="16"/>
      <x:c r="M95" s="16"/>
      <x:c r="N95" s="16"/>
      <x:c r="O95" s="16"/>
      <x:c r="P95" s="16"/>
      <x:c r="Q95" s="17"/>
    </x:row>
    <x:row r="96" spans="1:17">
      <x:c r="A96" s="16"/>
      <x:c r="B96" s="177"/>
      <x:c r="C96" s="175" t="s">
        <x:v>1010</x:v>
      </x:c>
      <x:c r="D96" s="175" t="s">
        <x:v>547</x:v>
      </x:c>
      <x:c r="E96" s="175" t="s">
        <x:v>636</x:v>
      </x:c>
      <x:c r="F96" s="66" t="s">
        <x:v>532</x:v>
      </x:c>
      <x:c r="G96" s="66" t="s">
        <x:v>579</x:v>
      </x:c>
      <x:c r="H96" s="71">
        <x:v>29.170000000000002</x:v>
      </x:c>
      <x:c r="I96" s="65">
        <x:v>8800</x:v>
      </x:c>
      <x:c r="J96" s="15"/>
      <x:c r="K96" s="16"/>
      <x:c r="L96" s="16"/>
      <x:c r="M96" s="16"/>
      <x:c r="N96" s="16"/>
      <x:c r="O96" s="16"/>
      <x:c r="P96" s="16"/>
      <x:c r="Q96" s="17"/>
    </x:row>
    <x:row r="97" spans="1:17">
      <x:c r="A97" s="16"/>
      <x:c r="B97" s="177"/>
      <x:c r="C97" s="177"/>
      <x:c r="D97" s="177"/>
      <x:c r="E97" s="177"/>
      <x:c r="F97" s="66" t="s">
        <x:v>615</x:v>
      </x:c>
      <x:c r="G97" s="66" t="s">
        <x:v>579</x:v>
      </x:c>
      <x:c r="H97" s="71" t="s">
        <x:v>503</x:v>
      </x:c>
      <x:c r="I97" s="65">
        <x:v>8800</x:v>
      </x:c>
      <x:c r="J97" s="15"/>
      <x:c r="K97" s="16"/>
      <x:c r="L97" s="16"/>
      <x:c r="M97" s="16"/>
      <x:c r="N97" s="16"/>
      <x:c r="O97" s="16"/>
      <x:c r="P97" s="16"/>
      <x:c r="Q97" s="17"/>
    </x:row>
    <x:row r="98" spans="1:17">
      <x:c r="A98" s="16"/>
      <x:c r="B98" s="177"/>
      <x:c r="C98" s="177"/>
      <x:c r="D98" s="176"/>
      <x:c r="E98" s="176"/>
      <x:c r="F98" s="66">
        <x:v>278</x:v>
      </x:c>
      <x:c r="G98" s="66" t="s">
        <x:v>497</x:v>
      </x:c>
      <x:c r="H98" s="71" t="s">
        <x:v>506</x:v>
      </x:c>
      <x:c r="I98" s="65">
        <x:v>9000</x:v>
      </x:c>
      <x:c r="J98" s="15"/>
      <x:c r="K98" s="16"/>
      <x:c r="L98" s="16"/>
      <x:c r="M98" s="16"/>
      <x:c r="N98" s="16"/>
      <x:c r="O98" s="16"/>
      <x:c r="P98" s="16"/>
      <x:c r="Q98" s="17"/>
    </x:row>
    <x:row r="99" spans="1:17">
      <x:c r="A99" s="16"/>
      <x:c r="B99" s="177"/>
      <x:c r="C99" s="177"/>
      <x:c r="D99" s="175" t="s">
        <x:v>682</x:v>
      </x:c>
      <x:c r="E99" s="175" t="s">
        <x:v>636</x:v>
      </x:c>
      <x:c r="F99" s="66" t="s">
        <x:v>532</x:v>
      </x:c>
      <x:c r="G99" s="66" t="s">
        <x:v>504</x:v>
      </x:c>
      <x:c r="H99" s="71" t="s">
        <x:v>561</x:v>
      </x:c>
      <x:c r="I99" s="65">
        <x:v>7900</x:v>
      </x:c>
      <x:c r="J99" s="15"/>
      <x:c r="K99" s="16"/>
      <x:c r="L99" s="16"/>
      <x:c r="M99" s="16"/>
      <x:c r="N99" s="16"/>
      <x:c r="O99" s="16"/>
      <x:c r="P99" s="16"/>
      <x:c r="Q99" s="17"/>
    </x:row>
    <x:row r="100" spans="1:17">
      <x:c r="A100" s="16"/>
      <x:c r="B100" s="177"/>
      <x:c r="C100" s="177"/>
      <x:c r="D100" s="176"/>
      <x:c r="E100" s="176"/>
      <x:c r="F100" s="66">
        <x:v>278</x:v>
      </x:c>
      <x:c r="G100" s="66" t="s">
        <x:v>1131</x:v>
      </x:c>
      <x:c r="H100" s="71" t="s">
        <x:v>494</x:v>
      </x:c>
      <x:c r="I100" s="65">
        <x:v>8000</x:v>
      </x:c>
      <x:c r="J100" s="15"/>
      <x:c r="K100" s="16"/>
      <x:c r="L100" s="16"/>
      <x:c r="M100" s="16"/>
      <x:c r="N100" s="16"/>
      <x:c r="O100" s="16"/>
      <x:c r="P100" s="16"/>
      <x:c r="Q100" s="17"/>
    </x:row>
    <x:row r="101" spans="1:17">
      <x:c r="A101" s="16"/>
      <x:c r="B101" s="177"/>
      <x:c r="C101" s="176"/>
      <x:c r="D101" s="66" t="s">
        <x:v>764</x:v>
      </x:c>
      <x:c r="E101" s="66" t="s">
        <x:v>627</x:v>
      </x:c>
      <x:c r="F101" s="75" t="s">
        <x:v>601</x:v>
      </x:c>
      <x:c r="G101" s="66" t="s">
        <x:v>1114</x:v>
      </x:c>
      <x:c r="H101" s="71" t="s">
        <x:v>498</x:v>
      </x:c>
      <x:c r="I101" s="65">
        <x:v>19000</x:v>
      </x:c>
      <x:c r="J101" s="15"/>
      <x:c r="K101" s="16"/>
      <x:c r="L101" s="16"/>
      <x:c r="M101" s="16"/>
      <x:c r="N101" s="16"/>
      <x:c r="O101" s="16"/>
      <x:c r="P101" s="16"/>
      <x:c r="Q101" s="17"/>
    </x:row>
    <x:row r="102" spans="1:17">
      <x:c r="A102" s="16"/>
      <x:c r="B102" s="177"/>
      <x:c r="C102" s="175" t="s">
        <x:v>817</x:v>
      </x:c>
      <x:c r="D102" s="175" t="s">
        <x:v>646</x:v>
      </x:c>
      <x:c r="E102" s="175" t="s">
        <x:v>626</x:v>
      </x:c>
      <x:c r="F102" s="66">
        <x:v>267</x:v>
      </x:c>
      <x:c r="G102" s="66" t="s">
        <x:v>418</x:v>
      </x:c>
      <x:c r="H102" s="71" t="s">
        <x:v>487</x:v>
      </x:c>
      <x:c r="I102" s="65">
        <x:v>19500</x:v>
      </x:c>
      <x:c r="J102" s="15"/>
      <x:c r="K102" s="16"/>
      <x:c r="L102" s="16"/>
      <x:c r="M102" s="16"/>
      <x:c r="N102" s="16"/>
      <x:c r="O102" s="16"/>
      <x:c r="P102" s="16"/>
      <x:c r="Q102" s="17"/>
    </x:row>
    <x:row r="103" spans="1:17">
      <x:c r="A103" s="16"/>
      <x:c r="B103" s="177"/>
      <x:c r="C103" s="177"/>
      <x:c r="D103" s="177"/>
      <x:c r="E103" s="177"/>
      <x:c r="F103" s="66">
        <x:v>562</x:v>
      </x:c>
      <x:c r="G103" s="66" t="s">
        <x:v>418</x:v>
      </x:c>
      <x:c r="H103" s="71" t="s">
        <x:v>466</x:v>
      </x:c>
      <x:c r="I103" s="65">
        <x:v>19500</x:v>
      </x:c>
      <x:c r="J103" s="15"/>
      <x:c r="K103" s="16"/>
      <x:c r="L103" s="16"/>
      <x:c r="M103" s="16"/>
      <x:c r="N103" s="16"/>
      <x:c r="O103" s="16"/>
      <x:c r="P103" s="16"/>
      <x:c r="Q103" s="17"/>
    </x:row>
    <x:row r="104" spans="1:17">
      <x:c r="A104" s="16"/>
      <x:c r="B104" s="177"/>
      <x:c r="C104" s="177"/>
      <x:c r="D104" s="176"/>
      <x:c r="E104" s="176"/>
      <x:c r="F104" s="66" t="s">
        <x:v>596</x:v>
      </x:c>
      <x:c r="G104" s="66" t="s">
        <x:v>630</x:v>
      </x:c>
      <x:c r="H104" s="71" t="s">
        <x:v>495</x:v>
      </x:c>
      <x:c r="I104" s="65">
        <x:v>19500</x:v>
      </x:c>
      <x:c r="J104" s="15"/>
      <x:c r="K104" s="16"/>
      <x:c r="L104" s="16"/>
      <x:c r="M104" s="16"/>
      <x:c r="N104" s="16"/>
      <x:c r="O104" s="16"/>
      <x:c r="P104" s="16"/>
      <x:c r="Q104" s="17"/>
    </x:row>
    <x:row r="105" spans="1:17">
      <x:c r="A105" s="16"/>
      <x:c r="B105" s="177"/>
      <x:c r="C105" s="177"/>
      <x:c r="D105" s="175" t="s">
        <x:v>650</x:v>
      </x:c>
      <x:c r="E105" s="175" t="s">
        <x:v>627</x:v>
      </x:c>
      <x:c r="F105" s="66">
        <x:v>267</x:v>
      </x:c>
      <x:c r="G105" s="66" t="s">
        <x:v>465</x:v>
      </x:c>
      <x:c r="H105" s="71" t="s">
        <x:v>604</x:v>
      </x:c>
      <x:c r="I105" s="65">
        <x:v>20300</x:v>
      </x:c>
      <x:c r="J105" s="15"/>
      <x:c r="K105" s="16"/>
      <x:c r="L105" s="16"/>
      <x:c r="M105" s="16"/>
      <x:c r="N105" s="16"/>
      <x:c r="O105" s="16"/>
      <x:c r="P105" s="16"/>
      <x:c r="Q105" s="17"/>
    </x:row>
    <x:row r="106" spans="1:17">
      <x:c r="A106" s="16"/>
      <x:c r="B106" s="177"/>
      <x:c r="C106" s="177"/>
      <x:c r="D106" s="177"/>
      <x:c r="E106" s="177"/>
      <x:c r="F106" s="66">
        <x:v>562</x:v>
      </x:c>
      <x:c r="G106" s="66" t="s">
        <x:v>630</x:v>
      </x:c>
      <x:c r="H106" s="71" t="s">
        <x:v>483</x:v>
      </x:c>
      <x:c r="I106" s="65">
        <x:v>20300</x:v>
      </x:c>
      <x:c r="J106" s="15"/>
      <x:c r="K106" s="16"/>
      <x:c r="L106" s="16"/>
      <x:c r="M106" s="16"/>
      <x:c r="N106" s="16"/>
      <x:c r="O106" s="16"/>
      <x:c r="P106" s="16"/>
      <x:c r="Q106" s="17"/>
    </x:row>
    <x:row r="107" spans="1:17">
      <x:c r="A107" s="16"/>
      <x:c r="B107" s="177"/>
      <x:c r="C107" s="177"/>
      <x:c r="D107" s="176"/>
      <x:c r="E107" s="176"/>
      <x:c r="F107" s="66" t="s">
        <x:v>596</x:v>
      </x:c>
      <x:c r="G107" s="66" t="s">
        <x:v>628</x:v>
      </x:c>
      <x:c r="H107" s="71" t="s">
        <x:v>470</x:v>
      </x:c>
      <x:c r="I107" s="65">
        <x:v>20300</x:v>
      </x:c>
      <x:c r="J107" s="15"/>
      <x:c r="K107" s="16"/>
      <x:c r="L107" s="16"/>
      <x:c r="M107" s="16"/>
      <x:c r="N107" s="16"/>
      <x:c r="O107" s="16"/>
      <x:c r="P107" s="16"/>
      <x:c r="Q107" s="17"/>
    </x:row>
    <x:row r="108" spans="1:17">
      <x:c r="A108" s="16"/>
      <x:c r="B108" s="177"/>
      <x:c r="C108" s="177"/>
      <x:c r="D108" s="66" t="s">
        <x:v>697</x:v>
      </x:c>
      <x:c r="E108" s="66" t="s">
        <x:v>627</x:v>
      </x:c>
      <x:c r="F108" s="75">
        <x:v>267</x:v>
      </x:c>
      <x:c r="G108" s="66" t="s">
        <x:v>504</x:v>
      </x:c>
      <x:c r="H108" s="71" t="s">
        <x:v>499</x:v>
      </x:c>
      <x:c r="I108" s="65">
        <x:v>12500</x:v>
      </x:c>
      <x:c r="J108" s="15"/>
      <x:c r="K108" s="16"/>
      <x:c r="L108" s="16"/>
      <x:c r="M108" s="16"/>
      <x:c r="N108" s="16"/>
      <x:c r="O108" s="16"/>
      <x:c r="P108" s="16"/>
      <x:c r="Q108" s="17"/>
    </x:row>
    <x:row r="109" spans="1:17">
      <x:c r="A109" s="16"/>
      <x:c r="B109" s="177"/>
      <x:c r="C109" s="177"/>
      <x:c r="D109" s="175" t="s">
        <x:v>682</x:v>
      </x:c>
      <x:c r="E109" s="175" t="s">
        <x:v>616</x:v>
      </x:c>
      <x:c r="F109" s="66">
        <x:v>267</x:v>
      </x:c>
      <x:c r="G109" s="66" t="s">
        <x:v>418</x:v>
      </x:c>
      <x:c r="H109" s="71" t="s">
        <x:v>482</x:v>
      </x:c>
      <x:c r="I109" s="65">
        <x:v>7500</x:v>
      </x:c>
      <x:c r="J109" s="15"/>
      <x:c r="K109" s="16"/>
      <x:c r="L109" s="16"/>
      <x:c r="M109" s="16"/>
      <x:c r="N109" s="16"/>
      <x:c r="O109" s="16"/>
      <x:c r="P109" s="16"/>
      <x:c r="Q109" s="17"/>
    </x:row>
    <x:row r="110" spans="1:17">
      <x:c r="A110" s="16"/>
      <x:c r="B110" s="177"/>
      <x:c r="C110" s="177"/>
      <x:c r="D110" s="177"/>
      <x:c r="E110" s="176"/>
      <x:c r="F110" s="66">
        <x:v>562</x:v>
      </x:c>
      <x:c r="G110" s="66" t="s">
        <x:v>418</x:v>
      </x:c>
      <x:c r="H110" s="71" t="s">
        <x:v>538</x:v>
      </x:c>
      <x:c r="I110" s="65">
        <x:v>8300</x:v>
      </x:c>
      <x:c r="J110" s="15"/>
      <x:c r="K110" s="16"/>
      <x:c r="L110" s="16"/>
      <x:c r="M110" s="16"/>
      <x:c r="N110" s="16"/>
      <x:c r="O110" s="16"/>
      <x:c r="P110" s="16"/>
      <x:c r="Q110" s="17"/>
    </x:row>
    <x:row r="111" spans="1:17">
      <x:c r="A111" s="16"/>
      <x:c r="B111" s="177"/>
      <x:c r="C111" s="177"/>
      <x:c r="D111" s="177"/>
      <x:c r="E111" s="66" t="s">
        <x:v>477</x:v>
      </x:c>
      <x:c r="F111" s="75">
        <x:v>267</x:v>
      </x:c>
      <x:c r="G111" s="66" t="s">
        <x:v>528</x:v>
      </x:c>
      <x:c r="H111" s="71" t="s">
        <x:v>515</x:v>
      </x:c>
      <x:c r="I111" s="65">
        <x:v>7500</x:v>
      </x:c>
      <x:c r="J111" s="15"/>
      <x:c r="K111" s="16"/>
      <x:c r="L111" s="16"/>
      <x:c r="M111" s="16"/>
      <x:c r="N111" s="16"/>
      <x:c r="O111" s="16"/>
      <x:c r="P111" s="16"/>
      <x:c r="Q111" s="17"/>
    </x:row>
    <x:row r="112" spans="1:17">
      <x:c r="A112" s="16"/>
      <x:c r="B112" s="177"/>
      <x:c r="C112" s="177"/>
      <x:c r="D112" s="177"/>
      <x:c r="E112" s="66" t="s">
        <x:v>616</x:v>
      </x:c>
      <x:c r="F112" s="66" t="s">
        <x:v>596</x:v>
      </x:c>
      <x:c r="G112" s="66" t="s">
        <x:v>1011</x:v>
      </x:c>
      <x:c r="H112" s="71" t="s">
        <x:v>541</x:v>
      </x:c>
      <x:c r="I112" s="65">
        <x:v>8100</x:v>
      </x:c>
      <x:c r="J112" s="15"/>
      <x:c r="K112" s="16"/>
      <x:c r="L112" s="16"/>
      <x:c r="M112" s="16"/>
      <x:c r="N112" s="16"/>
      <x:c r="O112" s="16"/>
      <x:c r="P112" s="16"/>
      <x:c r="Q112" s="17"/>
    </x:row>
    <x:row r="113" spans="1:17">
      <x:c r="A113" s="16"/>
      <x:c r="B113" s="177"/>
      <x:c r="C113" s="177"/>
      <x:c r="D113" s="176"/>
      <x:c r="E113" s="66" t="s">
        <x:v>636</x:v>
      </x:c>
      <x:c r="F113" s="66">
        <x:v>562</x:v>
      </x:c>
      <x:c r="G113" s="66" t="s">
        <x:v>502</x:v>
      </x:c>
      <x:c r="H113" s="71" t="s">
        <x:v>592</x:v>
      </x:c>
      <x:c r="I113" s="65">
        <x:v>8300</x:v>
      </x:c>
      <x:c r="J113" s="15"/>
      <x:c r="K113" s="16"/>
      <x:c r="L113" s="16"/>
      <x:c r="M113" s="16"/>
      <x:c r="N113" s="16"/>
      <x:c r="O113" s="16"/>
      <x:c r="P113" s="16"/>
      <x:c r="Q113" s="17"/>
    </x:row>
    <x:row r="114" spans="1:17">
      <x:c r="A114" s="16"/>
      <x:c r="B114" s="176"/>
      <x:c r="C114" s="176"/>
      <x:c r="D114" s="66" t="s">
        <x:v>607</x:v>
      </x:c>
      <x:c r="E114" s="66" t="s">
        <x:v>616</x:v>
      </x:c>
      <x:c r="F114" s="66" t="s">
        <x:v>596</x:v>
      </x:c>
      <x:c r="G114" s="66" t="s">
        <x:v>804</x:v>
      </x:c>
      <x:c r="H114" s="71" t="s">
        <x:v>560</x:v>
      </x:c>
      <x:c r="I114" s="65">
        <x:v>8800</x:v>
      </x:c>
      <x:c r="J114" s="15"/>
      <x:c r="K114" s="16"/>
      <x:c r="L114" s="16"/>
      <x:c r="M114" s="16"/>
      <x:c r="N114" s="16"/>
      <x:c r="O114" s="16"/>
      <x:c r="P114" s="16"/>
      <x:c r="Q114" s="17"/>
    </x:row>
    <x:row r="115" spans="1:17">
      <x:c r="A115" s="16"/>
      <x:c r="B115" s="178" t="s">
        <x:v>537</x:v>
      </x:c>
      <x:c r="C115" s="175" t="s">
        <x:v>1009</x:v>
      </x:c>
      <x:c r="D115" s="66" t="s">
        <x:v>624</x:v>
      </x:c>
      <x:c r="E115" s="66" t="s">
        <x:v>657</x:v>
      </x:c>
      <x:c r="F115" s="175">
        <x:v>38</x:v>
      </x:c>
      <x:c r="G115" s="66" t="s">
        <x:v>628</x:v>
      </x:c>
      <x:c r="H115" s="71" t="s">
        <x:v>518</x:v>
      </x:c>
      <x:c r="I115" s="68">
        <x:v>20000</x:v>
      </x:c>
      <x:c r="J115" s="15"/>
      <x:c r="K115" s="16"/>
      <x:c r="L115" s="16"/>
      <x:c r="M115" s="16"/>
      <x:c r="N115" s="16"/>
      <x:c r="O115" s="16"/>
      <x:c r="P115" s="16"/>
      <x:c r="Q115" s="17"/>
    </x:row>
    <x:row r="116" spans="1:17">
      <x:c r="A116" s="16"/>
      <x:c r="B116" s="177"/>
      <x:c r="C116" s="177"/>
      <x:c r="D116" s="66" t="s">
        <x:v>646</x:v>
      </x:c>
      <x:c r="E116" s="66" t="s">
        <x:v>657</x:v>
      </x:c>
      <x:c r="F116" s="177"/>
      <x:c r="G116" s="66" t="s">
        <x:v>620</x:v>
      </x:c>
      <x:c r="H116" s="71" t="s">
        <x:v>481</x:v>
      </x:c>
      <x:c r="I116" s="65">
        <x:v>18500</x:v>
      </x:c>
      <x:c r="J116" s="15"/>
      <x:c r="K116" s="16"/>
      <x:c r="L116" s="16"/>
      <x:c r="M116" s="16"/>
      <x:c r="N116" s="16"/>
      <x:c r="O116" s="16"/>
      <x:c r="P116" s="16"/>
      <x:c r="Q116" s="17"/>
    </x:row>
    <x:row r="117" spans="1:17">
      <x:c r="A117" s="16"/>
      <x:c r="B117" s="177"/>
      <x:c r="C117" s="177"/>
      <x:c r="D117" s="66" t="s">
        <x:v>658</x:v>
      </x:c>
      <x:c r="E117" s="66" t="s">
        <x:v>668</x:v>
      </x:c>
      <x:c r="F117" s="177"/>
      <x:c r="G117" s="70" t="s">
        <x:v>534</x:v>
      </x:c>
      <x:c r="H117" s="71" t="s">
        <x:v>525</x:v>
      </x:c>
      <x:c r="I117" s="68">
        <x:v>20000</x:v>
      </x:c>
      <x:c r="J117" s="15"/>
      <x:c r="K117" s="16"/>
      <x:c r="L117" s="16"/>
      <x:c r="M117" s="16"/>
      <x:c r="N117" s="16"/>
      <x:c r="O117" s="16"/>
      <x:c r="P117" s="16"/>
      <x:c r="Q117" s="17"/>
    </x:row>
    <x:row r="118" spans="1:17">
      <x:c r="A118" s="16"/>
      <x:c r="B118" s="177"/>
      <x:c r="C118" s="177"/>
      <x:c r="D118" s="66" t="s">
        <x:v>511</x:v>
      </x:c>
      <x:c r="E118" s="66" t="s">
        <x:v>668</x:v>
      </x:c>
      <x:c r="F118" s="177"/>
      <x:c r="G118" s="66" t="s">
        <x:v>1122</x:v>
      </x:c>
      <x:c r="H118" s="71" t="s">
        <x:v>522</x:v>
      </x:c>
      <x:c r="I118" s="68">
        <x:v>16000</x:v>
      </x:c>
      <x:c r="J118" s="15"/>
      <x:c r="K118" s="16"/>
      <x:c r="L118" s="16"/>
      <x:c r="M118" s="16"/>
      <x:c r="N118" s="16"/>
      <x:c r="O118" s="16"/>
      <x:c r="P118" s="16"/>
      <x:c r="Q118" s="17"/>
    </x:row>
    <x:row r="119" spans="1:17">
      <x:c r="A119" s="16"/>
      <x:c r="B119" s="177"/>
      <x:c r="C119" s="176"/>
      <x:c r="D119" s="66" t="s">
        <x:v>586</x:v>
      </x:c>
      <x:c r="E119" s="66"/>
      <x:c r="F119" s="176"/>
      <x:c r="G119" s="66" t="s">
        <x:v>621</x:v>
      </x:c>
      <x:c r="H119" s="71" t="s">
        <x:v>549</x:v>
      </x:c>
      <x:c r="I119" s="65">
        <x:v>6700</x:v>
      </x:c>
      <x:c r="J119" s="15"/>
      <x:c r="K119" s="16"/>
      <x:c r="L119" s="16"/>
      <x:c r="M119" s="16"/>
      <x:c r="N119" s="16"/>
      <x:c r="O119" s="16"/>
      <x:c r="P119" s="16"/>
      <x:c r="Q119" s="17"/>
    </x:row>
    <x:row r="120" spans="1:17">
      <x:c r="A120" s="16"/>
      <x:c r="B120" s="177"/>
      <x:c r="C120" s="175" t="s">
        <x:v>1005</x:v>
      </x:c>
      <x:c r="D120" s="66" t="s">
        <x:v>624</x:v>
      </x:c>
      <x:c r="E120" s="66" t="s">
        <x:v>753</x:v>
      </x:c>
      <x:c r="F120" s="175">
        <x:v>51</x:v>
      </x:c>
      <x:c r="G120" s="66" t="s">
        <x:v>620</x:v>
      </x:c>
      <x:c r="H120" s="71" t="s">
        <x:v>484</x:v>
      </x:c>
      <x:c r="I120" s="65">
        <x:v>19500</x:v>
      </x:c>
      <x:c r="J120" s="15"/>
      <x:c r="K120" s="16"/>
      <x:c r="L120" s="16"/>
      <x:c r="M120" s="16"/>
      <x:c r="N120" s="16"/>
      <x:c r="O120" s="16"/>
      <x:c r="P120" s="16"/>
      <x:c r="Q120" s="17"/>
    </x:row>
    <x:row r="121" spans="1:17">
      <x:c r="A121" s="16"/>
      <x:c r="B121" s="177"/>
      <x:c r="C121" s="177"/>
      <x:c r="D121" s="66" t="s">
        <x:v>1027</x:v>
      </x:c>
      <x:c r="E121" s="66" t="s">
        <x:v>668</x:v>
      </x:c>
      <x:c r="F121" s="176"/>
      <x:c r="G121" s="66" t="s">
        <x:v>628</x:v>
      </x:c>
      <x:c r="H121" s="71" t="s">
        <x:v>473</x:v>
      </x:c>
      <x:c r="I121" s="65">
        <x:v>7500</x:v>
      </x:c>
      <x:c r="J121" s="15"/>
      <x:c r="K121" s="16"/>
      <x:c r="L121" s="16"/>
      <x:c r="M121" s="16"/>
      <x:c r="N121" s="16"/>
      <x:c r="O121" s="16"/>
      <x:c r="P121" s="16"/>
      <x:c r="Q121" s="17"/>
    </x:row>
    <x:row r="122" spans="1:17">
      <x:c r="A122" s="16"/>
      <x:c r="B122" s="176"/>
      <x:c r="C122" s="176"/>
      <x:c r="D122" s="66" t="s">
        <x:v>607</x:v>
      </x:c>
      <x:c r="E122" s="66" t="s">
        <x:v>668</x:v>
      </x:c>
      <x:c r="F122" s="66">
        <x:v>93</x:v>
      </x:c>
      <x:c r="G122" s="66" t="s">
        <x:v>1</x:v>
      </x:c>
      <x:c r="H122" s="71" t="s">
        <x:v>454</x:v>
      </x:c>
      <x:c r="I122" s="65">
        <x:v>11000</x:v>
      </x:c>
      <x:c r="J122" s="15"/>
      <x:c r="K122" s="16"/>
      <x:c r="L122" s="16"/>
      <x:c r="M122" s="16"/>
      <x:c r="N122" s="16"/>
      <x:c r="O122" s="16"/>
      <x:c r="P122" s="16"/>
      <x:c r="Q122" s="17"/>
    </x:row>
    <x:row r="123" spans="1:17">
      <x:c r="A123" s="16"/>
      <x:c r="B123" s="184" t="s">
        <x:v>801</x:v>
      </x:c>
      <x:c r="C123" s="66" t="s">
        <x:v>1106</x:v>
      </x:c>
      <x:c r="D123" s="66" t="s">
        <x:v>701</x:v>
      </x:c>
      <x:c r="E123" s="66" t="s">
        <x:v>667</x:v>
      </x:c>
      <x:c r="F123" s="66">
        <x:v>80</x:v>
      </x:c>
      <x:c r="G123" s="66" t="s">
        <x:v>642</x:v>
      </x:c>
      <x:c r="H123" s="71" t="s">
        <x:v>490</x:v>
      </x:c>
      <x:c r="I123" s="69"/>
      <x:c r="J123" s="15"/>
      <x:c r="K123" s="16"/>
      <x:c r="L123" s="16"/>
      <x:c r="M123" s="16"/>
      <x:c r="N123" s="16"/>
      <x:c r="O123" s="16"/>
      <x:c r="P123" s="16"/>
      <x:c r="Q123" s="17"/>
    </x:row>
    <x:row r="124" spans="1:17">
      <x:c r="A124" s="16"/>
      <x:c r="B124" s="177"/>
      <x:c r="C124" s="66" t="s">
        <x:v>1023</x:v>
      </x:c>
      <x:c r="D124" s="66" t="s">
        <x:v>646</x:v>
      </x:c>
      <x:c r="E124" s="66" t="s">
        <x:v>667</x:v>
      </x:c>
      <x:c r="F124" s="66">
        <x:v>558</x:v>
      </x:c>
      <x:c r="G124" s="66" t="s">
        <x:v>664</x:v>
      </x:c>
      <x:c r="H124" s="71" t="s">
        <x:v>510</x:v>
      </x:c>
      <x:c r="I124" s="68">
        <x:v>17000</x:v>
      </x:c>
      <x:c r="J124" s="15"/>
      <x:c r="K124" s="16"/>
      <x:c r="L124" s="16"/>
      <x:c r="M124" s="16"/>
      <x:c r="N124" s="16"/>
      <x:c r="O124" s="16"/>
      <x:c r="P124" s="16"/>
      <x:c r="Q124" s="17"/>
    </x:row>
    <x:row r="125" spans="1:17">
      <x:c r="A125" s="16"/>
      <x:c r="B125" s="177"/>
      <x:c r="C125" s="66" t="s">
        <x:v>800</x:v>
      </x:c>
      <x:c r="D125" s="66" t="s">
        <x:v>688</x:v>
      </x:c>
      <x:c r="E125" s="66" t="s">
        <x:v>480</x:v>
      </x:c>
      <x:c r="F125" s="75" t="s">
        <x:v>508</x:v>
      </x:c>
      <x:c r="G125" s="66" t="s">
        <x:v>672</x:v>
      </x:c>
      <x:c r="H125" s="71" t="s">
        <x:v>514</x:v>
      </x:c>
      <x:c r="I125" s="69"/>
      <x:c r="J125" s="15"/>
      <x:c r="K125" s="16"/>
      <x:c r="L125" s="16"/>
      <x:c r="M125" s="16"/>
      <x:c r="N125" s="16"/>
      <x:c r="O125" s="16"/>
      <x:c r="P125" s="16"/>
      <x:c r="Q125" s="17"/>
    </x:row>
    <x:row r="126" spans="1:17">
      <x:c r="A126" s="16"/>
      <x:c r="B126" s="177"/>
      <x:c r="C126" s="175" t="s">
        <x:v>693</x:v>
      </x:c>
      <x:c r="D126" s="66" t="s">
        <x:v>570</x:v>
      </x:c>
      <x:c r="E126" s="66" t="s">
        <x:v>327</x:v>
      </x:c>
      <x:c r="F126" s="75">
        <x:v>235</x:v>
      </x:c>
      <x:c r="G126" s="66" t="s">
        <x:v>504</x:v>
      </x:c>
      <x:c r="H126" s="71" t="s">
        <x:v>493</x:v>
      </x:c>
      <x:c r="I126" s="65">
        <x:v>3200</x:v>
      </x:c>
      <x:c r="J126" s="15"/>
      <x:c r="K126" s="16"/>
      <x:c r="L126" s="16"/>
      <x:c r="M126" s="16"/>
      <x:c r="N126" s="16"/>
      <x:c r="O126" s="16"/>
      <x:c r="P126" s="16"/>
      <x:c r="Q126" s="17"/>
    </x:row>
    <x:row r="127" spans="1:17">
      <x:c r="A127" s="16"/>
      <x:c r="B127" s="177"/>
      <x:c r="C127" s="177"/>
      <x:c r="D127" s="185" t="s">
        <x:v>705</x:v>
      </x:c>
      <x:c r="E127" s="185" t="s">
        <x:v>667</x:v>
      </x:c>
      <x:c r="F127" s="76">
        <x:v>170</x:v>
      </x:c>
      <x:c r="G127" s="72" t="s">
        <x:v>807</x:v>
      </x:c>
      <x:c r="H127" s="73" t="s">
        <x:v>594</x:v>
      </x:c>
      <x:c r="I127" s="65">
        <x:v>20500</x:v>
      </x:c>
      <x:c r="J127" s="15"/>
      <x:c r="K127" s="16"/>
      <x:c r="L127" s="16"/>
      <x:c r="M127" s="16"/>
      <x:c r="N127" s="16"/>
      <x:c r="O127" s="16"/>
      <x:c r="P127" s="16"/>
      <x:c r="Q127" s="17"/>
    </x:row>
    <x:row r="128" spans="1:17">
      <x:c r="A128" s="16"/>
      <x:c r="B128" s="177"/>
      <x:c r="C128" s="177"/>
      <x:c r="D128" s="177"/>
      <x:c r="E128" s="177"/>
      <x:c r="F128" s="76">
        <x:v>235</x:v>
      </x:c>
      <x:c r="G128" s="72" t="s">
        <x:v>1004</x:v>
      </x:c>
      <x:c r="H128" s="73" t="s">
        <x:v>614</x:v>
      </x:c>
      <x:c r="I128" s="65">
        <x:v>20000</x:v>
      </x:c>
      <x:c r="J128" s="15"/>
      <x:c r="K128" s="16"/>
      <x:c r="L128" s="16"/>
      <x:c r="M128" s="16"/>
      <x:c r="N128" s="16"/>
      <x:c r="O128" s="16"/>
      <x:c r="P128" s="16"/>
      <x:c r="Q128" s="17"/>
    </x:row>
    <x:row r="129" spans="1:17">
      <x:c r="A129" s="16"/>
      <x:c r="B129" s="177"/>
      <x:c r="C129" s="177"/>
      <x:c r="D129" s="176"/>
      <x:c r="E129" s="176"/>
      <x:c r="F129" s="72">
        <x:v>384</x:v>
      </x:c>
      <x:c r="G129" s="72" t="s">
        <x:v>621</x:v>
      </x:c>
      <x:c r="H129" s="73" t="s">
        <x:v>519</x:v>
      </x:c>
      <x:c r="I129" s="65">
        <x:v>20000</x:v>
      </x:c>
      <x:c r="J129" s="15"/>
      <x:c r="K129" s="16"/>
      <x:c r="L129" s="16"/>
      <x:c r="M129" s="16"/>
      <x:c r="N129" s="16"/>
      <x:c r="O129" s="16"/>
      <x:c r="P129" s="16"/>
      <x:c r="Q129" s="17"/>
    </x:row>
    <x:row r="130" spans="1:17">
      <x:c r="A130" s="16"/>
      <x:c r="B130" s="177"/>
      <x:c r="C130" s="177"/>
      <x:c r="D130" s="175" t="s">
        <x:v>646</x:v>
      </x:c>
      <x:c r="E130" s="175" t="s">
        <x:v>667</x:v>
      </x:c>
      <x:c r="F130" s="66">
        <x:v>170</x:v>
      </x:c>
      <x:c r="G130" s="66" t="s">
        <x:v>754</x:v>
      </x:c>
      <x:c r="H130" s="71" t="s">
        <x:v>501</x:v>
      </x:c>
      <x:c r="I130" s="68">
        <x:v>17000</x:v>
      </x:c>
      <x:c r="J130" s="15"/>
      <x:c r="K130" s="16"/>
      <x:c r="L130" s="16"/>
      <x:c r="M130" s="16"/>
      <x:c r="N130" s="16"/>
      <x:c r="O130" s="16"/>
      <x:c r="P130" s="16"/>
      <x:c r="Q130" s="17"/>
    </x:row>
    <x:row r="131" spans="1:17">
      <x:c r="A131" s="16"/>
      <x:c r="B131" s="177"/>
      <x:c r="C131" s="177"/>
      <x:c r="D131" s="176"/>
      <x:c r="E131" s="176"/>
      <x:c r="F131" s="66">
        <x:v>235</x:v>
      </x:c>
      <x:c r="G131" s="66" t="s">
        <x:v>754</x:v>
      </x:c>
      <x:c r="H131" s="71" t="s">
        <x:v>507</x:v>
      </x:c>
      <x:c r="I131" s="68">
        <x:v>17000</x:v>
      </x:c>
      <x:c r="J131" s="15"/>
      <x:c r="K131" s="16"/>
      <x:c r="L131" s="16"/>
      <x:c r="M131" s="16"/>
      <x:c r="N131" s="16"/>
      <x:c r="O131" s="16"/>
      <x:c r="P131" s="16"/>
      <x:c r="Q131" s="17"/>
    </x:row>
    <x:row r="132" spans="1:17">
      <x:c r="A132" s="16"/>
      <x:c r="B132" s="177"/>
      <x:c r="C132" s="177"/>
      <x:c r="D132" s="66" t="s">
        <x:v>734</x:v>
      </x:c>
      <x:c r="E132" s="66" t="s">
        <x:v>667</x:v>
      </x:c>
      <x:c r="F132" s="66">
        <x:v>170</x:v>
      </x:c>
      <x:c r="G132" s="66" t="s">
        <x:v>628</x:v>
      </x:c>
      <x:c r="H132" s="71" t="s">
        <x:v>488</x:v>
      </x:c>
      <x:c r="I132" s="65">
        <x:v>10800</x:v>
      </x:c>
      <x:c r="J132" s="15"/>
      <x:c r="K132" s="16"/>
      <x:c r="L132" s="16"/>
      <x:c r="M132" s="16"/>
      <x:c r="N132" s="16"/>
      <x:c r="O132" s="16"/>
      <x:c r="P132" s="16"/>
      <x:c r="Q132" s="17"/>
    </x:row>
    <x:row r="133" spans="1:17">
      <x:c r="A133" s="16"/>
      <x:c r="B133" s="177"/>
      <x:c r="C133" s="176"/>
      <x:c r="D133" s="66" t="s">
        <x:v>586</x:v>
      </x:c>
      <x:c r="E133" s="66" t="s">
        <x:v>667</x:v>
      </x:c>
      <x:c r="F133" s="66">
        <x:v>235</x:v>
      </x:c>
      <x:c r="G133" s="66" t="s">
        <x:v>512</x:v>
      </x:c>
      <x:c r="H133" s="71">
        <x:v>18.02</x:v>
      </x:c>
      <x:c r="I133" s="65">
        <x:v>6000</x:v>
      </x:c>
      <x:c r="J133" s="15"/>
      <x:c r="K133" s="16"/>
      <x:c r="L133" s="16"/>
      <x:c r="M133" s="16"/>
      <x:c r="N133" s="16"/>
      <x:c r="O133" s="16"/>
      <x:c r="P133" s="16"/>
      <x:c r="Q133" s="17"/>
    </x:row>
    <x:row r="134" spans="1:17">
      <x:c r="A134" s="16"/>
      <x:c r="B134" s="177"/>
      <x:c r="C134" s="175" t="s">
        <x:v>1033</x:v>
      </x:c>
      <x:c r="D134" s="175" t="s">
        <x:v>695</x:v>
      </x:c>
      <x:c r="E134" s="66" t="s">
        <x:v>667</x:v>
      </x:c>
      <x:c r="F134" s="66">
        <x:v>291</x:v>
      </x:c>
      <x:c r="G134" s="66" t="s">
        <x:v>982</x:v>
      </x:c>
      <x:c r="H134" s="71">
        <x:v>15</x:v>
      </x:c>
      <x:c r="I134" s="65">
        <x:v>4000</x:v>
      </x:c>
      <x:c r="J134" s="15"/>
      <x:c r="K134" s="16"/>
      <x:c r="L134" s="16"/>
      <x:c r="M134" s="16"/>
      <x:c r="N134" s="16"/>
      <x:c r="O134" s="16"/>
      <x:c r="P134" s="16"/>
      <x:c r="Q134" s="17"/>
    </x:row>
    <x:row r="135" spans="1:17">
      <x:c r="A135" s="16"/>
      <x:c r="B135" s="177"/>
      <x:c r="C135" s="177"/>
      <x:c r="D135" s="177"/>
      <x:c r="E135" s="175" t="s">
        <x:v>692</x:v>
      </x:c>
      <x:c r="F135" s="75">
        <x:v>291</x:v>
      </x:c>
      <x:c r="G135" s="66" t="s">
        <x:v>982</x:v>
      </x:c>
      <x:c r="H135" s="66">
        <x:v>15</x:v>
      </x:c>
      <x:c r="I135" s="65">
        <x:v>2800</x:v>
      </x:c>
      <x:c r="J135" s="15"/>
      <x:c r="K135" s="16"/>
      <x:c r="L135" s="16"/>
      <x:c r="M135" s="16"/>
      <x:c r="N135" s="16"/>
      <x:c r="O135" s="16"/>
      <x:c r="P135" s="16"/>
      <x:c r="Q135" s="17"/>
    </x:row>
    <x:row r="136" spans="2:17">
      <x:c r="B136" s="177"/>
      <x:c r="C136" s="177"/>
      <x:c r="D136" s="176"/>
      <x:c r="E136" s="176"/>
      <x:c r="F136" s="66">
        <x:v>294</x:v>
      </x:c>
      <x:c r="G136" s="66" t="s">
        <x:v>982</x:v>
      </x:c>
      <x:c r="H136" s="66">
        <x:v>15</x:v>
      </x:c>
      <x:c r="I136" s="65">
        <x:v>2800</x:v>
      </x:c>
      <x:c r="J136" s="15"/>
      <x:c r="K136" s="16"/>
      <x:c r="L136" s="16"/>
      <x:c r="M136" s="16"/>
      <x:c r="N136" s="16"/>
      <x:c r="O136" s="16"/>
      <x:c r="P136" s="16"/>
      <x:c r="Q136" s="17"/>
    </x:row>
    <x:row r="137" spans="2:16">
      <x:c r="B137" s="177"/>
      <x:c r="C137" s="177"/>
      <x:c r="D137" s="175" t="s">
        <x:v>640</x:v>
      </x:c>
      <x:c r="E137" s="175" t="s">
        <x:v>611</x:v>
      </x:c>
      <x:c r="F137" s="66">
        <x:v>294</x:v>
      </x:c>
      <x:c r="G137" s="66" t="s">
        <x:v>219</x:v>
      </x:c>
      <x:c r="H137" s="66">
        <x:v>20</x:v>
      </x:c>
      <x:c r="I137" s="65">
        <x:v>4900</x:v>
      </x:c>
      <x:c r="J137" s="15"/>
      <x:c r="K137" s="16"/>
      <x:c r="L137" s="16"/>
      <x:c r="M137" s="16"/>
      <x:c r="N137" s="16"/>
      <x:c r="O137" s="16"/>
      <x:c r="P137" s="17"/>
    </x:row>
    <x:row r="138" spans="2:16">
      <x:c r="B138" s="177"/>
      <x:c r="C138" s="177"/>
      <x:c r="D138" s="177"/>
      <x:c r="E138" s="177"/>
      <x:c r="F138" s="66">
        <x:v>399</x:v>
      </x:c>
      <x:c r="G138" s="66" t="s">
        <x:v>512</x:v>
      </x:c>
      <x:c r="H138" s="66">
        <x:v>20</x:v>
      </x:c>
      <x:c r="I138" s="65">
        <x:v>4800</x:v>
      </x:c>
      <x:c r="J138" s="15"/>
      <x:c r="K138" s="16"/>
      <x:c r="L138" s="16"/>
      <x:c r="M138" s="16"/>
      <x:c r="N138" s="16"/>
      <x:c r="O138" s="16"/>
      <x:c r="P138" s="17"/>
    </x:row>
    <x:row r="139" spans="2:16">
      <x:c r="B139" s="177"/>
      <x:c r="C139" s="177"/>
      <x:c r="D139" s="176"/>
      <x:c r="E139" s="176"/>
      <x:c r="F139" s="66">
        <x:v>7</x:v>
      </x:c>
      <x:c r="G139" s="66" t="s">
        <x:v>528</x:v>
      </x:c>
      <x:c r="H139" s="66">
        <x:v>20</x:v>
      </x:c>
      <x:c r="I139" s="65">
        <x:v>4900</x:v>
      </x:c>
      <x:c r="J139" s="15"/>
      <x:c r="K139" s="16"/>
      <x:c r="L139" s="16"/>
      <x:c r="M139" s="16"/>
      <x:c r="N139" s="16"/>
      <x:c r="O139" s="16"/>
      <x:c r="P139" s="17"/>
    </x:row>
    <x:row r="140" spans="2:16">
      <x:c r="B140" s="177"/>
      <x:c r="C140" s="177"/>
      <x:c r="D140" s="175" t="s">
        <x:v>591</x:v>
      </x:c>
      <x:c r="E140" s="66" t="s">
        <x:v>667</x:v>
      </x:c>
      <x:c r="F140" s="66">
        <x:v>294</x:v>
      </x:c>
      <x:c r="G140" s="66" t="s">
        <x:v>432</x:v>
      </x:c>
      <x:c r="H140" s="66">
        <x:v>14.84</x:v>
      </x:c>
      <x:c r="I140" s="65">
        <x:v>6000</x:v>
      </x:c>
      <x:c r="J140" s="15"/>
      <x:c r="K140" s="16"/>
      <x:c r="L140" s="16"/>
      <x:c r="M140" s="16"/>
      <x:c r="N140" s="16"/>
      <x:c r="O140" s="16"/>
      <x:c r="P140" s="17"/>
    </x:row>
    <x:row r="141" spans="2:16">
      <x:c r="B141" s="177"/>
      <x:c r="C141" s="177"/>
      <x:c r="D141" s="176"/>
      <x:c r="E141" s="72" t="s">
        <x:v>692</x:v>
      </x:c>
      <x:c r="F141" s="72">
        <x:v>294</x:v>
      </x:c>
      <x:c r="G141" s="72" t="s">
        <x:v>432</x:v>
      </x:c>
      <x:c r="H141" s="72">
        <x:v>14.83</x:v>
      </x:c>
      <x:c r="I141" s="65">
        <x:v>1500</x:v>
      </x:c>
      <x:c r="J141" s="15"/>
      <x:c r="K141" s="16"/>
      <x:c r="L141" s="16"/>
      <x:c r="M141" s="16"/>
      <x:c r="N141" s="16"/>
      <x:c r="O141" s="16"/>
      <x:c r="P141" s="17"/>
    </x:row>
    <x:row r="142" spans="2:16">
      <x:c r="B142" s="177"/>
      <x:c r="C142" s="177"/>
      <x:c r="D142" s="175" t="s">
        <x:v>701</x:v>
      </x:c>
      <x:c r="E142" s="175" t="s">
        <x:v>692</x:v>
      </x:c>
      <x:c r="F142" s="66">
        <x:v>294</x:v>
      </x:c>
      <x:c r="G142" s="66" t="s">
        <x:v>621</x:v>
      </x:c>
      <x:c r="H142" s="66">
        <x:v>20.539999999999999</x:v>
      </x:c>
      <x:c r="I142" s="65">
        <x:v>15000</x:v>
      </x:c>
      <x:c r="J142" s="15"/>
      <x:c r="K142" s="16"/>
      <x:c r="L142" s="16"/>
      <x:c r="M142" s="16"/>
      <x:c r="N142" s="16"/>
      <x:c r="O142" s="16"/>
      <x:c r="P142" s="17"/>
    </x:row>
    <x:row r="143" spans="2:16">
      <x:c r="B143" s="177"/>
      <x:c r="C143" s="177"/>
      <x:c r="D143" s="177"/>
      <x:c r="E143" s="177"/>
      <x:c r="F143" s="66">
        <x:v>423</x:v>
      </x:c>
      <x:c r="G143" s="66" t="s">
        <x:v>630</x:v>
      </x:c>
      <x:c r="H143" s="66">
        <x:v>20.84</x:v>
      </x:c>
      <x:c r="I143" s="65">
        <x:v>15000</x:v>
      </x:c>
      <x:c r="J143" s="15"/>
      <x:c r="K143" s="16"/>
      <x:c r="L143" s="16"/>
      <x:c r="M143" s="16"/>
      <x:c r="N143" s="16"/>
      <x:c r="O143" s="16"/>
      <x:c r="P143" s="17"/>
    </x:row>
    <x:row r="144" spans="2:16">
      <x:c r="B144" s="177"/>
      <x:c r="C144" s="177"/>
      <x:c r="D144" s="176"/>
      <x:c r="E144" s="176"/>
      <x:c r="F144" s="66">
        <x:v>7</x:v>
      </x:c>
      <x:c r="G144" s="66" t="s">
        <x:v>418</x:v>
      </x:c>
      <x:c r="H144" s="66">
        <x:v>20.489999999999998</x:v>
      </x:c>
      <x:c r="I144" s="65">
        <x:v>15200</x:v>
      </x:c>
      <x:c r="J144" s="15"/>
      <x:c r="K144" s="16"/>
      <x:c r="L144" s="16"/>
      <x:c r="M144" s="16"/>
      <x:c r="N144" s="16"/>
      <x:c r="O144" s="16"/>
      <x:c r="P144" s="17"/>
    </x:row>
    <x:row r="145" spans="2:16">
      <x:c r="B145" s="177"/>
      <x:c r="C145" s="177"/>
      <x:c r="D145" s="175" t="s">
        <x:v>548</x:v>
      </x:c>
      <x:c r="E145" s="175" t="s">
        <x:v>692</x:v>
      </x:c>
      <x:c r="F145" s="66">
        <x:v>291</x:v>
      </x:c>
      <x:c r="G145" s="66" t="s">
        <x:v>418</x:v>
      </x:c>
      <x:c r="H145" s="66">
        <x:v>18.559999999999999</x:v>
      </x:c>
      <x:c r="I145" s="65">
        <x:v>13300</x:v>
      </x:c>
      <x:c r="J145" s="15"/>
      <x:c r="K145" s="16"/>
      <x:c r="L145" s="16"/>
      <x:c r="M145" s="16"/>
      <x:c r="N145" s="16"/>
      <x:c r="O145" s="16"/>
      <x:c r="P145" s="17"/>
    </x:row>
    <x:row r="146" spans="2:16">
      <x:c r="B146" s="177"/>
      <x:c r="C146" s="177"/>
      <x:c r="D146" s="177"/>
      <x:c r="E146" s="177"/>
      <x:c r="F146" s="66">
        <x:v>423</x:v>
      </x:c>
      <x:c r="G146" s="66" t="s">
        <x:v>630</x:v>
      </x:c>
      <x:c r="H146" s="66">
        <x:v>19.75</x:v>
      </x:c>
      <x:c r="I146" s="65">
        <x:v>13300</x:v>
      </x:c>
      <x:c r="J146" s="15"/>
      <x:c r="K146" s="16"/>
      <x:c r="L146" s="16"/>
      <x:c r="M146" s="16"/>
      <x:c r="N146" s="16"/>
      <x:c r="O146" s="16"/>
      <x:c r="P146" s="17"/>
    </x:row>
    <x:row r="147" spans="2:16">
      <x:c r="B147" s="177"/>
      <x:c r="C147" s="177"/>
      <x:c r="D147" s="176"/>
      <x:c r="E147" s="176"/>
      <x:c r="F147" s="66">
        <x:v>7</x:v>
      </x:c>
      <x:c r="G147" s="66" t="s">
        <x:v>630</x:v>
      </x:c>
      <x:c r="H147" s="66">
        <x:v>19.289999999999999</x:v>
      </x:c>
      <x:c r="I147" s="65">
        <x:v>13500</x:v>
      </x:c>
      <x:c r="J147" s="15"/>
      <x:c r="K147" s="16"/>
      <x:c r="L147" s="16"/>
      <x:c r="M147" s="16"/>
      <x:c r="N147" s="16"/>
      <x:c r="O147" s="16"/>
      <x:c r="P147" s="17"/>
    </x:row>
    <x:row r="148" spans="2:10">
      <x:c r="B148" s="177"/>
      <x:c r="C148" s="177"/>
      <x:c r="D148" s="175" t="s">
        <x:v>585</x:v>
      </x:c>
      <x:c r="E148" s="66" t="s">
        <x:v>667</x:v>
      </x:c>
      <x:c r="F148" s="66">
        <x:v>294</x:v>
      </x:c>
      <x:c r="G148" s="66" t="s">
        <x:v>628</x:v>
      </x:c>
      <x:c r="H148" s="66">
        <x:v>18.300000000000001</x:v>
      </x:c>
      <x:c r="I148" s="65">
        <x:v>13000</x:v>
      </x:c>
      <x:c r="J148" s="15"/>
    </x:row>
    <x:row r="149" spans="2:10">
      <x:c r="B149" s="177"/>
      <x:c r="C149" s="177"/>
      <x:c r="D149" s="177"/>
      <x:c r="E149" s="175" t="s">
        <x:v>692</x:v>
      </x:c>
      <x:c r="F149" s="66">
        <x:v>399</x:v>
      </x:c>
      <x:c r="G149" s="66" t="s">
        <x:v>536</x:v>
      </x:c>
      <x:c r="H149" s="66">
        <x:v>17.140000000000001</x:v>
      </x:c>
      <x:c r="I149" s="65">
        <x:v>13000</x:v>
      </x:c>
      <x:c r="J149" s="15"/>
    </x:row>
    <x:row r="150" spans="2:10">
      <x:c r="B150" s="177"/>
      <x:c r="C150" s="177"/>
      <x:c r="D150" s="177"/>
      <x:c r="E150" s="177"/>
      <x:c r="F150" s="66">
        <x:v>423</x:v>
      </x:c>
      <x:c r="G150" s="66" t="s">
        <x:v>630</x:v>
      </x:c>
      <x:c r="H150" s="66">
        <x:v>17.129999999999999</x:v>
      </x:c>
      <x:c r="I150" s="65">
        <x:v>13000</x:v>
      </x:c>
      <x:c r="J150" s="15"/>
    </x:row>
    <x:row r="151" spans="2:10">
      <x:c r="B151" s="177"/>
      <x:c r="C151" s="177"/>
      <x:c r="D151" s="176"/>
      <x:c r="E151" s="176"/>
      <x:c r="F151" s="66">
        <x:v>7</x:v>
      </x:c>
      <x:c r="G151" s="66" t="s">
        <x:v>418</x:v>
      </x:c>
      <x:c r="H151" s="66">
        <x:v>18.73</x:v>
      </x:c>
      <x:c r="I151" s="65">
        <x:v>13000</x:v>
      </x:c>
      <x:c r="J151" s="15"/>
    </x:row>
    <x:row r="152" spans="2:10">
      <x:c r="B152" s="177"/>
      <x:c r="C152" s="177"/>
      <x:c r="D152" s="175" t="s">
        <x:v>768</x:v>
      </x:c>
      <x:c r="E152" s="175" t="s">
        <x:v>668</x:v>
      </x:c>
      <x:c r="F152" s="66">
        <x:v>294</x:v>
      </x:c>
      <x:c r="G152" s="66" t="s">
        <x:v>639</x:v>
      </x:c>
      <x:c r="H152" s="66">
        <x:v>17.809999999999999</x:v>
      </x:c>
      <x:c r="I152" s="65">
        <x:v>15300</x:v>
      </x:c>
      <x:c r="J152" s="15"/>
    </x:row>
    <x:row r="153" spans="2:10">
      <x:c r="B153" s="177"/>
      <x:c r="C153" s="177"/>
      <x:c r="D153" s="176"/>
      <x:c r="E153" s="176"/>
      <x:c r="F153" s="66">
        <x:v>7</x:v>
      </x:c>
      <x:c r="G153" s="66" t="s">
        <x:v>639</x:v>
      </x:c>
      <x:c r="H153" s="66">
        <x:v>19.039999999999999</x:v>
      </x:c>
      <x:c r="I153" s="65">
        <x:v>15300</x:v>
      </x:c>
      <x:c r="J153" s="15"/>
    </x:row>
    <x:row r="154" spans="2:10">
      <x:c r="B154" s="177"/>
      <x:c r="C154" s="176"/>
      <x:c r="D154" s="66" t="s">
        <x:v>688</x:v>
      </x:c>
      <x:c r="E154" s="66" t="s">
        <x:v>692</x:v>
      </x:c>
      <x:c r="F154" s="66">
        <x:v>291</x:v>
      </x:c>
      <x:c r="G154" s="66" t="s">
        <x:v>512</x:v>
      </x:c>
      <x:c r="H154" s="66">
        <x:v>19.170000000000002</x:v>
      </x:c>
      <x:c r="I154" s="65">
        <x:v>16500</x:v>
      </x:c>
      <x:c r="J154" s="15"/>
    </x:row>
    <x:row r="155" spans="2:9">
      <x:c r="B155" s="177"/>
      <x:c r="C155" s="175" t="s">
        <x:v>1015</x:v>
      </x:c>
      <x:c r="D155" s="66" t="s">
        <x:v>624</x:v>
      </x:c>
      <x:c r="E155" s="175" t="s">
        <x:v>667</x:v>
      </x:c>
      <x:c r="F155" s="175">
        <x:v>640</x:v>
      </x:c>
      <x:c r="G155" s="66" t="s">
        <x:v>564</x:v>
      </x:c>
      <x:c r="H155" s="66">
        <x:v>19.120000000000001</x:v>
      </x:c>
      <x:c r="I155" s="65">
        <x:v>20300</x:v>
      </x:c>
    </x:row>
    <x:row r="156" spans="2:9">
      <x:c r="B156" s="177"/>
      <x:c r="C156" s="177"/>
      <x:c r="D156" s="66" t="s">
        <x:v>646</x:v>
      </x:c>
      <x:c r="E156" s="177"/>
      <x:c r="F156" s="177"/>
      <x:c r="G156" s="66" t="s">
        <x:v>754</x:v>
      </x:c>
      <x:c r="H156" s="66">
        <x:v>19.199999999999999</x:v>
      </x:c>
      <x:c r="I156" s="68">
        <x:v>16800</x:v>
      </x:c>
    </x:row>
    <x:row r="157" spans="2:9">
      <x:c r="B157" s="177"/>
      <x:c r="C157" s="177"/>
      <x:c r="D157" s="66" t="s">
        <x:v>330</x:v>
      </x:c>
      <x:c r="E157" s="177"/>
      <x:c r="F157" s="177"/>
      <x:c r="G157" s="66" t="s">
        <x:v>822</x:v>
      </x:c>
      <x:c r="H157" s="66">
        <x:v>19.870000000000001</x:v>
      </x:c>
      <x:c r="I157" s="65">
        <x:v>11000</x:v>
      </x:c>
    </x:row>
    <x:row r="158" spans="2:9">
      <x:c r="B158" s="177"/>
      <x:c r="C158" s="177"/>
      <x:c r="D158" s="66" t="s">
        <x:v>584</x:v>
      </x:c>
      <x:c r="E158" s="177"/>
      <x:c r="F158" s="177"/>
      <x:c r="G158" s="66" t="s">
        <x:v>822</x:v>
      </x:c>
      <x:c r="H158" s="66">
        <x:v>18.969999999999999</x:v>
      </x:c>
      <x:c r="I158" s="65">
        <x:v>11000</x:v>
      </x:c>
    </x:row>
    <x:row r="159" spans="2:9">
      <x:c r="B159" s="177"/>
      <x:c r="C159" s="177"/>
      <x:c r="D159" s="66" t="s">
        <x:v>547</x:v>
      </x:c>
      <x:c r="E159" s="177"/>
      <x:c r="F159" s="177"/>
      <x:c r="G159" s="66" t="s">
        <x:v>581</x:v>
      </x:c>
      <x:c r="H159" s="66">
        <x:v>19.879999999999999</x:v>
      </x:c>
      <x:c r="I159" s="65">
        <x:v>9800</x:v>
      </x:c>
    </x:row>
    <x:row r="160" spans="2:9">
      <x:c r="B160" s="177"/>
      <x:c r="C160" s="177"/>
      <x:c r="D160" s="66" t="s">
        <x:v>718</x:v>
      </x:c>
      <x:c r="E160" s="177"/>
      <x:c r="F160" s="177"/>
      <x:c r="G160" s="66" t="s">
        <x:v>581</x:v>
      </x:c>
      <x:c r="H160" s="66">
        <x:v>19.219999999999999</x:v>
      </x:c>
      <x:c r="I160" s="65">
        <x:v>13500</x:v>
      </x:c>
    </x:row>
    <x:row r="161" spans="2:9">
      <x:c r="B161" s="177"/>
      <x:c r="C161" s="177"/>
      <x:c r="D161" s="66" t="s">
        <x:v>650</x:v>
      </x:c>
      <x:c r="E161" s="177"/>
      <x:c r="F161" s="177"/>
      <x:c r="G161" s="66" t="s">
        <x:v>581</x:v>
      </x:c>
      <x:c r="H161" s="66">
        <x:v>17.969999999999999</x:v>
      </x:c>
      <x:c r="I161" s="65">
        <x:v>15200</x:v>
      </x:c>
    </x:row>
    <x:row r="162" spans="2:9">
      <x:c r="B162" s="177"/>
      <x:c r="C162" s="177"/>
      <x:c r="D162" s="66" t="s">
        <x:v>423</x:v>
      </x:c>
      <x:c r="E162" s="177"/>
      <x:c r="F162" s="177"/>
      <x:c r="G162" s="66" t="s">
        <x:v>581</x:v>
      </x:c>
      <x:c r="H162" s="66">
        <x:v>21.949999999999999</x:v>
      </x:c>
      <x:c r="I162" s="65">
        <x:v>13000</x:v>
      </x:c>
    </x:row>
    <x:row r="163" spans="2:10">
      <x:c r="B163" s="177"/>
      <x:c r="C163" s="177"/>
      <x:c r="D163" s="66" t="s">
        <x:v>319</x:v>
      </x:c>
      <x:c r="E163" s="177"/>
      <x:c r="F163" s="177"/>
      <x:c r="G163" s="66" t="s">
        <x:v>1016</x:v>
      </x:c>
      <x:c r="H163" s="66">
        <x:v>22.969999999999999</x:v>
      </x:c>
      <x:c r="I163" s="65">
        <x:v>12000</x:v>
      </x:c>
      <x:c r="J163" s="15"/>
    </x:row>
    <x:row r="164" spans="2:10">
      <x:c r="B164" s="177"/>
      <x:c r="C164" s="176"/>
      <x:c r="D164" s="66" t="s">
        <x:v>682</x:v>
      </x:c>
      <x:c r="E164" s="176"/>
      <x:c r="F164" s="176"/>
      <x:c r="G164" s="66" t="s">
        <x:v>620</x:v>
      </x:c>
      <x:c r="H164" s="66">
        <x:v>25.859999999999999</x:v>
      </x:c>
      <x:c r="I164" s="65">
        <x:v>12200</x:v>
      </x:c>
      <x:c r="J164" s="15"/>
    </x:row>
    <x:row r="165" spans="2:9">
      <x:c r="B165" s="186" t="s">
        <x:v>527</x:v>
      </x:c>
      <x:c r="C165" s="175" t="s">
        <x:v>1006</x:v>
      </x:c>
      <x:c r="D165" s="66" t="s">
        <x:v>673</x:v>
      </x:c>
      <x:c r="E165" s="66"/>
      <x:c r="F165" s="66">
        <x:v>20202</x:v>
      </x:c>
      <x:c r="G165" s="66" t="s">
        <x:v>630</x:v>
      </x:c>
      <x:c r="H165" s="66">
        <x:v>10.210000000000001</x:v>
      </x:c>
      <x:c r="I165" s="68">
        <x:v>2800</x:v>
      </x:c>
    </x:row>
    <x:row r="166" spans="2:9">
      <x:c r="B166" s="177"/>
      <x:c r="C166" s="176"/>
      <x:c r="D166" s="72" t="s">
        <x:v>643</x:v>
      </x:c>
      <x:c r="E166" s="72" t="s">
        <x:v>775</x:v>
      </x:c>
      <x:c r="F166" s="72">
        <x:v>20202</x:v>
      </x:c>
      <x:c r="G166" s="77" t="s">
        <x:v>349</x:v>
      </x:c>
      <x:c r="H166" s="72">
        <x:v>15.5</x:v>
      </x:c>
      <x:c r="I166" s="65">
        <x:v>9000</x:v>
      </x:c>
    </x:row>
    <x:row r="167" spans="2:9">
      <x:c r="B167" s="177"/>
      <x:c r="C167" s="175" t="s">
        <x:v>267</x:v>
      </x:c>
      <x:c r="D167" s="72" t="s">
        <x:v>724</x:v>
      </x:c>
      <x:c r="E167" s="72"/>
      <x:c r="F167" s="72" t="s">
        <x:v>1046</x:v>
      </x:c>
      <x:c r="G167" s="72" t="s">
        <x:v>630</x:v>
      </x:c>
      <x:c r="H167" s="72">
        <x:v>10.33</x:v>
      </x:c>
      <x:c r="I167" s="65">
        <x:v>7300</x:v>
      </x:c>
    </x:row>
    <x:row r="168" spans="2:9">
      <x:c r="B168" s="177"/>
      <x:c r="C168" s="176"/>
      <x:c r="D168" s="66" t="s">
        <x:v>643</x:v>
      </x:c>
      <x:c r="E168" s="66" t="s">
        <x:v>363</x:v>
      </x:c>
      <x:c r="F168" s="67" t="s">
        <x:v>1046</x:v>
      </x:c>
      <x:c r="G168" s="66" t="s">
        <x:v>630</x:v>
      </x:c>
      <x:c r="H168" s="66">
        <x:v>13</x:v>
      </x:c>
      <x:c r="I168" s="65">
        <x:v>10300</x:v>
      </x:c>
    </x:row>
    <x:row r="169" spans="2:9">
      <x:c r="B169" s="177"/>
      <x:c r="C169" s="70" t="s">
        <x:v>1126</x:v>
      </x:c>
      <x:c r="D169" s="70" t="s">
        <x:v>648</x:v>
      </x:c>
      <x:c r="E169" s="66"/>
      <x:c r="F169" s="67"/>
      <x:c r="G169" s="70" t="s">
        <x:v>706</x:v>
      </x:c>
      <x:c r="H169" s="70">
        <x:v>10.5</x:v>
      </x:c>
      <x:c r="I169" s="65"/>
    </x:row>
    <x:row r="170" spans="2:9">
      <x:c r="B170" s="177"/>
      <x:c r="C170" s="66" t="s">
        <x:v>1134</x:v>
      </x:c>
      <x:c r="D170" s="66" t="s">
        <x:v>643</x:v>
      </x:c>
      <x:c r="E170" s="66"/>
      <x:c r="F170" s="67"/>
      <x:c r="G170" s="66" t="s">
        <x:v>502</x:v>
      </x:c>
      <x:c r="H170" s="66">
        <x:v>14.630000000000001</x:v>
      </x:c>
      <x:c r="I170" s="65">
        <x:v>8500</x:v>
      </x:c>
    </x:row>
    <x:row r="171" spans="2:9">
      <x:c r="B171" s="177"/>
      <x:c r="C171" s="66" t="s">
        <x:v>1024</x:v>
      </x:c>
      <x:c r="D171" s="66" t="s">
        <x:v>673</x:v>
      </x:c>
      <x:c r="E171" s="66" t="s">
        <x:v>599</x:v>
      </x:c>
      <x:c r="F171" s="78">
        <x:v>33970</x:v>
      </x:c>
      <x:c r="G171" s="66" t="s">
        <x:v>512</x:v>
      </x:c>
      <x:c r="H171" s="66">
        <x:v>10</x:v>
      </x:c>
      <x:c r="I171" s="65">
        <x:v>2400</x:v>
      </x:c>
    </x:row>
    <x:row r="172" spans="2:9">
      <x:c r="B172" s="177"/>
      <x:c r="C172" s="66" t="s">
        <x:v>779</x:v>
      </x:c>
      <x:c r="D172" s="66" t="s">
        <x:v>643</x:v>
      </x:c>
      <x:c r="E172" s="66"/>
      <x:c r="F172" s="67" t="s">
        <x:v>419</x:v>
      </x:c>
      <x:c r="G172" s="66" t="s">
        <x:v>1132</x:v>
      </x:c>
      <x:c r="H172" s="66">
        <x:v>17.969999999999999</x:v>
      </x:c>
      <x:c r="I172" s="65">
        <x:v>8400</x:v>
      </x:c>
    </x:row>
    <x:row r="173" spans="2:9">
      <x:c r="B173" s="177"/>
      <x:c r="C173" s="175" t="s">
        <x:v>1133</x:v>
      </x:c>
      <x:c r="D173" s="175" t="s">
        <x:v>724</x:v>
      </x:c>
      <x:c r="E173" s="175"/>
      <x:c r="F173" s="66">
        <x:v>129</x:v>
      </x:c>
      <x:c r="G173" s="66" t="s">
        <x:v>1115</x:v>
      </x:c>
      <x:c r="H173" s="66">
        <x:v>13.539999999999999</x:v>
      </x:c>
      <x:c r="I173" s="65">
        <x:v>7000</x:v>
      </x:c>
    </x:row>
    <x:row r="174" spans="2:9">
      <x:c r="B174" s="177"/>
      <x:c r="C174" s="176"/>
      <x:c r="D174" s="176"/>
      <x:c r="E174" s="176"/>
      <x:c r="F174" s="66" t="s">
        <x:v>550</x:v>
      </x:c>
      <x:c r="G174" s="66" t="s">
        <x:v>1115</x:v>
      </x:c>
      <x:c r="H174" s="66">
        <x:v>13.970000000000001</x:v>
      </x:c>
      <x:c r="I174" s="65">
        <x:v>7400</x:v>
      </x:c>
    </x:row>
    <x:row r="175" spans="2:9">
      <x:c r="B175" s="177"/>
      <x:c r="C175" s="175" t="s">
        <x:v>453</x:v>
      </x:c>
      <x:c r="D175" s="66" t="s">
        <x:v>724</x:v>
      </x:c>
      <x:c r="E175" s="66"/>
      <x:c r="F175" s="66" t="s">
        <x:v>612</x:v>
      </x:c>
      <x:c r="G175" s="66" t="s">
        <x:v>231</x:v>
      </x:c>
      <x:c r="H175" s="66">
        <x:v>12.800000000000001</x:v>
      </x:c>
      <x:c r="I175" s="68">
        <x:v>8700</x:v>
      </x:c>
    </x:row>
    <x:row r="176" spans="2:9">
      <x:c r="B176" s="177"/>
      <x:c r="C176" s="177"/>
      <x:c r="D176" s="175" t="s">
        <x:v>733</x:v>
      </x:c>
      <x:c r="E176" s="175"/>
      <x:c r="F176" s="66">
        <x:v>18079</x:v>
      </x:c>
      <x:c r="G176" s="66" t="s">
        <x:v>795</x:v>
      </x:c>
      <x:c r="H176" s="66">
        <x:v>16.350000000000001</x:v>
      </x:c>
      <x:c r="I176" s="65">
        <x:v>5700</x:v>
      </x:c>
    </x:row>
    <x:row r="177" spans="2:9">
      <x:c r="B177" s="177"/>
      <x:c r="C177" s="177"/>
      <x:c r="D177" s="177"/>
      <x:c r="E177" s="177"/>
      <x:c r="F177" s="66" t="s">
        <x:v>352</x:v>
      </x:c>
      <x:c r="G177" s="66" t="s">
        <x:v>823</x:v>
      </x:c>
      <x:c r="H177" s="66">
        <x:v>16.73</x:v>
      </x:c>
      <x:c r="I177" s="65">
        <x:v>5600</x:v>
      </x:c>
    </x:row>
    <x:row r="178" spans="2:9">
      <x:c r="B178" s="177"/>
      <x:c r="C178" s="176"/>
      <x:c r="D178" s="176"/>
      <x:c r="E178" s="176"/>
      <x:c r="F178" s="66">
        <x:v>413</x:v>
      </x:c>
      <x:c r="G178" s="66" t="s">
        <x:v>796</x:v>
      </x:c>
      <x:c r="H178" s="66">
        <x:v>17.57</x:v>
      </x:c>
      <x:c r="I178" s="65">
        <x:v>5650</x:v>
      </x:c>
    </x:row>
    <x:row r="179" spans="2:9">
      <x:c r="B179" s="177"/>
      <x:c r="C179" s="66" t="s">
        <x:v>608</x:v>
      </x:c>
      <x:c r="D179" s="66" t="s">
        <x:v>733</x:v>
      </x:c>
      <x:c r="E179" s="66" t="s">
        <x:v>669</x:v>
      </x:c>
      <x:c r="F179" s="66">
        <x:v>244</x:v>
      </x:c>
      <x:c r="G179" s="66" t="s">
        <x:v>471</x:v>
      </x:c>
      <x:c r="H179" s="66">
        <x:v>17.280000000000001</x:v>
      </x:c>
      <x:c r="I179" s="65">
        <x:v>5600</x:v>
      </x:c>
    </x:row>
    <x:row r="180" spans="2:9">
      <x:c r="B180" s="177"/>
      <x:c r="C180" s="175" t="s">
        <x:v>1017</x:v>
      </x:c>
      <x:c r="D180" s="66" t="s">
        <x:v>698</x:v>
      </x:c>
      <x:c r="E180" s="66"/>
      <x:c r="F180" s="66" t="s">
        <x:v>683</x:v>
      </x:c>
      <x:c r="G180" s="66" t="s">
        <x:v>418</x:v>
      </x:c>
      <x:c r="H180" s="71" t="s">
        <x:v>474</x:v>
      </x:c>
      <x:c r="I180" s="65">
        <x:v>5600</x:v>
      </x:c>
    </x:row>
    <x:row r="181" spans="2:9">
      <x:c r="B181" s="177"/>
      <x:c r="C181" s="177"/>
      <x:c r="D181" s="66" t="s">
        <x:v>689</x:v>
      </x:c>
      <x:c r="E181" s="66"/>
      <x:c r="F181" s="66" t="s">
        <x:v>691</x:v>
      </x:c>
      <x:c r="G181" s="66" t="s">
        <x:v>1119</x:v>
      </x:c>
      <x:c r="H181" s="71" t="s">
        <x:v>297</x:v>
      </x:c>
      <x:c r="I181" s="65">
        <x:v>1750</x:v>
      </x:c>
    </x:row>
    <x:row r="182" spans="2:9">
      <x:c r="B182" s="177"/>
      <x:c r="C182" s="176"/>
      <x:c r="D182" s="66" t="s">
        <x:v>733</x:v>
      </x:c>
      <x:c r="E182" s="66" t="s">
        <x:v>700</x:v>
      </x:c>
      <x:c r="F182" s="66" t="s">
        <x:v>691</x:v>
      </x:c>
      <x:c r="G182" s="66" t="s">
        <x:v>1125</x:v>
      </x:c>
      <x:c r="H182" s="66">
        <x:v>34.030000000000001</x:v>
      </x:c>
      <x:c r="I182" s="65">
        <x:v>5650</x:v>
      </x:c>
    </x:row>
    <x:row r="183" spans="2:9">
      <x:c r="B183" s="176"/>
      <x:c r="C183" s="66" t="s">
        <x:v>651</x:v>
      </x:c>
      <x:c r="D183" s="66" t="s">
        <x:v>684</x:v>
      </x:c>
      <x:c r="E183" s="66"/>
      <x:c r="F183" s="66">
        <x:v>732</x:v>
      </x:c>
      <x:c r="G183" s="66" t="s">
        <x:v>630</x:v>
      </x:c>
      <x:c r="H183" s="66">
        <x:v>7.7800000000000002</x:v>
      </x:c>
      <x:c r="I183" s="65">
        <x:v>13500</x:v>
      </x:c>
    </x:row>
    <x:row r="184" spans="2:9">
      <x:c r="B184" s="187" t="s">
        <x:v>500</x:v>
      </x:c>
      <x:c r="C184" s="66" t="s">
        <x:v>1030</x:v>
      </x:c>
      <x:c r="D184" s="175" t="s">
        <x:v>687</x:v>
      </x:c>
      <x:c r="E184" s="175" t="s">
        <x:v>738</x:v>
      </x:c>
      <x:c r="F184" s="67"/>
      <x:c r="G184" s="66" t="s">
        <x:v>0</x:v>
      </x:c>
      <x:c r="H184" s="66">
        <x:v>12</x:v>
      </x:c>
      <x:c r="I184" s="65">
        <x:v>4500</x:v>
      </x:c>
    </x:row>
    <x:row r="185" spans="2:9">
      <x:c r="B185" s="177"/>
      <x:c r="C185" s="66" t="s">
        <x:v>1032</x:v>
      </x:c>
      <x:c r="D185" s="177"/>
      <x:c r="E185" s="177"/>
      <x:c r="F185" s="67"/>
      <x:c r="G185" s="66" t="s">
        <x:v>2</x:v>
      </x:c>
      <x:c r="H185" s="66">
        <x:v>12</x:v>
      </x:c>
      <x:c r="I185" s="65">
        <x:v>4550</x:v>
      </x:c>
    </x:row>
    <x:row r="186" spans="2:9">
      <x:c r="B186" s="177"/>
      <x:c r="C186" s="66" t="s">
        <x:v>781</x:v>
      </x:c>
      <x:c r="D186" s="176"/>
      <x:c r="E186" s="177"/>
      <x:c r="F186" s="67"/>
      <x:c r="G186" s="66" t="s">
        <x:v>265</x:v>
      </x:c>
      <x:c r="H186" s="66">
        <x:v>12</x:v>
      </x:c>
      <x:c r="I186" s="68">
        <x:v>4550</x:v>
      </x:c>
    </x:row>
    <x:row r="187" spans="2:9">
      <x:c r="B187" s="176"/>
      <x:c r="C187" s="66" t="s">
        <x:v>1118</x:v>
      </x:c>
      <x:c r="D187" s="66" t="s">
        <x:v>719</x:v>
      </x:c>
      <x:c r="E187" s="176"/>
      <x:c r="F187" s="67"/>
      <x:c r="G187" s="66" t="s">
        <x:v>630</x:v>
      </x:c>
      <x:c r="H187" s="66">
        <x:v>15</x:v>
      </x:c>
      <x:c r="I187" s="65">
        <x:v>2800</x:v>
      </x:c>
    </x:row>
  </x:sheetData>
  <x:mergeCells count="92">
    <x:mergeCell ref="E36:E37"/>
    <x:mergeCell ref="E38:E39"/>
    <x:mergeCell ref="D41:D43"/>
    <x:mergeCell ref="E41:E42"/>
    <x:mergeCell ref="D44:D45"/>
    <x:mergeCell ref="E44:E45"/>
    <x:mergeCell ref="D46:D48"/>
    <x:mergeCell ref="E47:E48"/>
    <x:mergeCell ref="D49:D50"/>
    <x:mergeCell ref="D53:D54"/>
    <x:mergeCell ref="D57:D60"/>
    <x:mergeCell ref="E57:E60"/>
    <x:mergeCell ref="D61:D63"/>
    <x:mergeCell ref="E61:E63"/>
    <x:mergeCell ref="C64:C95"/>
    <x:mergeCell ref="D64:D66"/>
    <x:mergeCell ref="D68:D71"/>
    <x:mergeCell ref="D76:D78"/>
    <x:mergeCell ref="D79:D80"/>
    <x:mergeCell ref="D81:D83"/>
    <x:mergeCell ref="D84:D87"/>
    <x:mergeCell ref="E102:E104"/>
    <x:mergeCell ref="D105:D107"/>
    <x:mergeCell ref="E105:E107"/>
    <x:mergeCell ref="D109:D113"/>
    <x:mergeCell ref="E109:E110"/>
    <x:mergeCell ref="B115:B122"/>
    <x:mergeCell ref="C115:C119"/>
    <x:mergeCell ref="F115:F119"/>
    <x:mergeCell ref="C120:C122"/>
    <x:mergeCell ref="F120:F121"/>
    <x:mergeCell ref="B11:N11"/>
    <x:mergeCell ref="B12:I12"/>
    <x:mergeCell ref="B15:B29"/>
    <x:mergeCell ref="C15:C16"/>
    <x:mergeCell ref="C18:C29"/>
    <x:mergeCell ref="B30:B114"/>
    <x:mergeCell ref="C36:C63"/>
    <x:mergeCell ref="D134:D136"/>
    <x:mergeCell ref="D137:D139"/>
    <x:mergeCell ref="D145:D147"/>
    <x:mergeCell ref="D148:D151"/>
    <x:mergeCell ref="F155:F164"/>
    <x:mergeCell ref="C134:C154"/>
    <x:mergeCell ref="C155:C164"/>
    <x:mergeCell ref="C102:C114"/>
    <x:mergeCell ref="D102:D104"/>
    <x:mergeCell ref="B123:B164"/>
    <x:mergeCell ref="C126:C133"/>
    <x:mergeCell ref="D127:D129"/>
    <x:mergeCell ref="D130:D131"/>
    <x:mergeCell ref="D152:D153"/>
    <x:mergeCell ref="D176:D178"/>
    <x:mergeCell ref="E176:E178"/>
    <x:mergeCell ref="B165:B183"/>
    <x:mergeCell ref="B184:B187"/>
    <x:mergeCell ref="D184:D186"/>
    <x:mergeCell ref="E184:E187"/>
    <x:mergeCell ref="C165:C166"/>
    <x:mergeCell ref="C167:C168"/>
    <x:mergeCell ref="C173:C174"/>
    <x:mergeCell ref="D173:D174"/>
    <x:mergeCell ref="E173:E174"/>
    <x:mergeCell ref="C175:C178"/>
    <x:mergeCell ref="C180:C182"/>
    <x:mergeCell ref="C33:C34"/>
    <x:mergeCell ref="D36:D40"/>
    <x:mergeCell ref="E64:E66"/>
    <x:mergeCell ref="E68:E71"/>
    <x:mergeCell ref="E76:E78"/>
    <x:mergeCell ref="E81:E83"/>
    <x:mergeCell ref="E85:E86"/>
    <x:mergeCell ref="E89:E91"/>
    <x:mergeCell ref="E127:E129"/>
    <x:mergeCell ref="E130:E131"/>
    <x:mergeCell ref="E135:E136"/>
    <x:mergeCell ref="E137:E139"/>
    <x:mergeCell ref="D89:D92"/>
    <x:mergeCell ref="D93:D94"/>
    <x:mergeCell ref="E93:E94"/>
    <x:mergeCell ref="C96:C101"/>
    <x:mergeCell ref="D96:D98"/>
    <x:mergeCell ref="E96:E98"/>
    <x:mergeCell ref="D99:D100"/>
    <x:mergeCell ref="E99:E100"/>
    <x:mergeCell ref="D140:D141"/>
    <x:mergeCell ref="D142:D144"/>
    <x:mergeCell ref="E142:E144"/>
    <x:mergeCell ref="E145:E147"/>
    <x:mergeCell ref="E149:E151"/>
    <x:mergeCell ref="E152:E153"/>
    <x:mergeCell ref="E155:E164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 filterMode="1">
    <x:pageSetUpPr autoPageBreaks="1" fitToPage="1"/>
  </x:sheetPr>
  <x:dimension ref="A1:Z967"/>
  <x:sheetViews>
    <x:sheetView topLeftCell="A1" zoomScaleNormal="100" zoomScaleSheetLayoutView="75" workbookViewId="0">
      <x:pane xSplit="0" ySplit="1" topLeftCell="A2" activePane="bottomLeft" state="frozen"/>
      <x:selection pane="bottomLeft" activeCell="B3" activeCellId="0" sqref="B3:B3"/>
    </x:sheetView>
  </x:sheetViews>
  <x:sheetFormatPr defaultColWidth="12.62890625" defaultRowHeight="15.75" customHeight="1"/>
  <x:cols>
    <x:col min="1" max="1" width="23.75" style="1" customWidth="1"/>
    <x:col min="2" max="2" width="24.12890625" style="1" customWidth="1"/>
    <x:col min="3" max="3" width="11.87890625" style="1" customWidth="1"/>
    <x:col min="4" max="4" width="18.25" style="1" customWidth="1"/>
    <x:col min="5" max="5" width="11" style="1" customWidth="1"/>
    <x:col min="6" max="6" width="28.12890625" style="1" customWidth="1"/>
    <x:col min="7" max="7" width="16.5" style="1" customWidth="1"/>
    <x:col min="8" max="8" width="14.62890625" style="1" customWidth="1"/>
    <x:col min="9" max="9" width="8.5" style="1" customWidth="1"/>
    <x:col min="10" max="10" width="12.12890625" style="1" customWidth="1"/>
    <x:col min="11" max="26" width="21.75" style="1" customWidth="1"/>
  </x:cols>
  <x:sheetData>
    <x:row r="1" spans="1:26">
      <x:c r="A1" s="79" t="s">
        <x:v>629</x:v>
      </x:c>
      <x:c r="B1" s="79" t="s">
        <x:v>623</x:v>
      </x:c>
      <x:c r="C1" s="79" t="s">
        <x:v>619</x:v>
      </x:c>
      <x:c r="D1" s="80" t="s">
        <x:v>647</x:v>
      </x:c>
      <x:c r="E1" s="79" t="s">
        <x:v>728</x:v>
      </x:c>
      <x:c r="F1" s="79" t="s">
        <x:v>622</x:v>
      </x:c>
      <x:c r="G1" s="79" t="s">
        <x:v>645</x:v>
      </x:c>
      <x:c r="H1" s="79" t="s">
        <x:v>545</x:v>
      </x:c>
      <x:c r="I1" s="79" t="s">
        <x:v>661</x:v>
      </x:c>
      <x:c r="J1" s="81" t="s">
        <x:v>431</x:v>
      </x:c>
      <x:c r="K1" s="81">
        <x:f>SUM(K2:K70)</x:f>
        <x:v>1627049710.1364858</x:v>
      </x:c>
      <x:c r="L1" s="82" t="s">
        <x:v>702</x:v>
      </x:c>
      <x:c r="M1" s="82" t="s">
        <x:v>681</x:v>
      </x:c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 spans="1:26">
      <x:c r="A2" s="84" t="s">
        <x:v>520</x:v>
      </x:c>
      <x:c r="B2" s="84" t="s">
        <x:v>311</x:v>
      </x:c>
      <x:c r="C2" s="85"/>
      <x:c r="D2" s="86" t="s">
        <x:v>713</x:v>
      </x:c>
      <x:c r="E2" s="87">
        <x:v>65</x:v>
      </x:c>
      <x:c r="F2" s="84" t="s">
        <x:v>215</x:v>
      </x:c>
      <x:c r="G2" s="84" t="s">
        <x:v>679</x:v>
      </x:c>
      <x:c r="H2" s="88">
        <x:v>46350</x:v>
      </x:c>
      <x:c r="I2" s="89">
        <x:v>27.199999999999999</x:v>
      </x:c>
      <x:c r="J2" s="90">
        <x:v>5100</x:v>
      </x:c>
      <x:c r="K2" s="91">
        <x:f t="shared" ref="K2:K70" si="0">J2*I2*E2</x:f>
        <x:v>9016800</x:v>
      </x:c>
      <x:c r="L2" s="92"/>
      <x:c r="M2" s="92"/>
      <x:c r="N2" s="92"/>
      <x:c r="O2" s="92"/>
      <x:c r="P2" s="92"/>
      <x:c r="Q2" s="92"/>
      <x:c r="R2" s="92"/>
      <x:c r="S2" s="92"/>
      <x:c r="T2" s="92"/>
      <x:c r="U2" s="92"/>
      <x:c r="V2" s="92"/>
      <x:c r="W2" s="92"/>
      <x:c r="X2" s="92"/>
      <x:c r="Y2" s="92"/>
      <x:c r="Z2" s="92"/>
    </x:row>
    <x:row r="3" spans="1:26">
      <x:c r="A3" s="93" t="s">
        <x:v>646</x:v>
      </x:c>
      <x:c r="B3" s="93" t="s">
        <x:v>533</x:v>
      </x:c>
      <x:c r="C3" s="93" t="s">
        <x:v>657</x:v>
      </x:c>
      <x:c r="D3" s="94" t="s">
        <x:v>746</x:v>
      </x:c>
      <x:c r="E3" s="95">
        <x:v>198</x:v>
      </x:c>
      <x:c r="F3" s="93" t="s">
        <x:v>789</x:v>
      </x:c>
      <x:c r="G3" s="93" t="s">
        <x:v>722</x:v>
      </x:c>
      <x:c r="H3" s="96">
        <x:v>46353</x:v>
      </x:c>
      <x:c r="I3" s="97">
        <x:v>20.41439394</x:v>
      </x:c>
      <x:c r="J3" s="98">
        <x:v>13300</x:v>
      </x:c>
      <x:c r="K3" s="99">
        <x:f t="shared" si="0"/>
        <x:v>53759265.001595996</x:v>
      </x:c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</x:row>
    <x:row r="4" spans="1:26">
      <x:c r="A4" s="84" t="s">
        <x:v>646</x:v>
      </x:c>
      <x:c r="B4" s="84" t="s">
        <x:v>573</x:v>
      </x:c>
      <x:c r="C4" s="84" t="s">
        <x:v>631</x:v>
      </x:c>
      <x:c r="D4" s="86" t="s">
        <x:v>685</x:v>
      </x:c>
      <x:c r="E4" s="87">
        <x:v>5</x:v>
      </x:c>
      <x:c r="F4" s="84" t="s">
        <x:v>193</x:v>
      </x:c>
      <x:c r="G4" s="84" t="s">
        <x:v>722</x:v>
      </x:c>
      <x:c r="H4" s="88">
        <x:v>46278</x:v>
      </x:c>
      <x:c r="I4" s="89">
        <x:v>36.704117650000001</x:v>
      </x:c>
      <x:c r="J4" s="90">
        <x:v>12700</x:v>
      </x:c>
      <x:c r="K4" s="91">
        <x:f t="shared" si="0"/>
        <x:v>2330711.4707749998</x:v>
      </x:c>
      <x:c r="L4" s="92"/>
      <x:c r="M4" s="92"/>
      <x:c r="N4" s="92"/>
      <x:c r="O4" s="92"/>
      <x:c r="P4" s="92"/>
      <x:c r="Q4" s="92"/>
      <x:c r="R4" s="92"/>
      <x:c r="S4" s="92"/>
      <x:c r="T4" s="92"/>
      <x:c r="U4" s="92"/>
      <x:c r="V4" s="92"/>
      <x:c r="W4" s="92"/>
      <x:c r="X4" s="92"/>
      <x:c r="Y4" s="92"/>
      <x:c r="Z4" s="92"/>
    </x:row>
    <x:row r="5" spans="1:26">
      <x:c r="A5" s="93" t="s">
        <x:v>646</x:v>
      </x:c>
      <x:c r="B5" s="93" t="s">
        <x:v>573</x:v>
      </x:c>
      <x:c r="C5" s="93" t="s">
        <x:v>631</x:v>
      </x:c>
      <x:c r="D5" s="94" t="s">
        <x:v>685</x:v>
      </x:c>
      <x:c r="E5" s="95">
        <x:v>9</x:v>
      </x:c>
      <x:c r="F5" s="93" t="s">
        <x:v>193</x:v>
      </x:c>
      <x:c r="G5" s="93" t="s">
        <x:v>628</x:v>
      </x:c>
      <x:c r="H5" s="96">
        <x:v>46278</x:v>
      </x:c>
      <x:c r="I5" s="97">
        <x:v>36.704117650000001</x:v>
      </x:c>
      <x:c r="J5" s="98">
        <x:v>12700</x:v>
      </x:c>
      <x:c r="K5" s="99">
        <x:f t="shared" si="0"/>
        <x:v>4195280.6473949999</x:v>
      </x:c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</x:row>
    <x:row r="6" spans="1:26">
      <x:c r="A6" s="84" t="s">
        <x:v>646</x:v>
      </x:c>
      <x:c r="B6" s="84" t="s">
        <x:v>573</x:v>
      </x:c>
      <x:c r="C6" s="84" t="s">
        <x:v>631</x:v>
      </x:c>
      <x:c r="D6" s="86" t="s">
        <x:v>540</x:v>
      </x:c>
      <x:c r="E6" s="87">
        <x:v>53</x:v>
      </x:c>
      <x:c r="F6" s="84" t="s">
        <x:v>280</x:v>
      </x:c>
      <x:c r="G6" s="84" t="s">
        <x:v>639</x:v>
      </x:c>
      <x:c r="H6" s="88">
        <x:v>46324</x:v>
      </x:c>
      <x:c r="I6" s="89">
        <x:v>37.130000000000003</x:v>
      </x:c>
      <x:c r="J6" s="90">
        <x:v>12700</x:v>
      </x:c>
      <x:c r="K6" s="91">
        <x:f t="shared" si="0"/>
        <x:v>24992203.000000004</x:v>
      </x:c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</x:row>
    <x:row r="7" spans="1:26">
      <x:c r="A7" s="93" t="s">
        <x:v>646</x:v>
      </x:c>
      <x:c r="B7" s="93" t="s">
        <x:v>573</x:v>
      </x:c>
      <x:c r="C7" s="93" t="s">
        <x:v>631</x:v>
      </x:c>
      <x:c r="D7" s="94" t="s">
        <x:v>769</x:v>
      </x:c>
      <x:c r="E7" s="95">
        <x:v>15</x:v>
      </x:c>
      <x:c r="F7" s="93" t="s">
        <x:v>242</x:v>
      </x:c>
      <x:c r="G7" s="93" t="s">
        <x:v>679</x:v>
      </x:c>
      <x:c r="H7" s="96">
        <x:v>46357</x:v>
      </x:c>
      <x:c r="I7" s="97">
        <x:v>20.609999999999999</x:v>
      </x:c>
      <x:c r="J7" s="98">
        <x:v>12700</x:v>
      </x:c>
      <x:c r="K7" s="99">
        <x:f t="shared" si="0"/>
        <x:v>3926205</x:v>
      </x:c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 spans="1:26">
      <x:c r="A8" s="84" t="s">
        <x:v>646</x:v>
      </x:c>
      <x:c r="B8" s="84" t="s">
        <x:v>573</x:v>
      </x:c>
      <x:c r="C8" s="84" t="s">
        <x:v>631</x:v>
      </x:c>
      <x:c r="D8" s="86" t="s">
        <x:v>769</x:v>
      </x:c>
      <x:c r="E8" s="87">
        <x:v>66</x:v>
      </x:c>
      <x:c r="F8" s="84" t="s">
        <x:v>280</x:v>
      </x:c>
      <x:c r="G8" s="84" t="s">
        <x:v>639</x:v>
      </x:c>
      <x:c r="H8" s="84" t="s">
        <x:v>1128</x:v>
      </x:c>
      <x:c r="I8" s="89">
        <x:v>37.409999999999997</x:v>
      </x:c>
      <x:c r="J8" s="90">
        <x:v>12700</x:v>
      </x:c>
      <x:c r="K8" s="91">
        <x:f t="shared" si="0"/>
        <x:v>31357061.999999996</x:v>
      </x:c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 spans="1:26">
      <x:c r="A9" s="93" t="s">
        <x:v>646</x:v>
      </x:c>
      <x:c r="B9" s="93" t="s">
        <x:v>573</x:v>
      </x:c>
      <x:c r="C9" s="93" t="s">
        <x:v>627</x:v>
      </x:c>
      <x:c r="D9" s="94" t="s">
        <x:v>769</x:v>
      </x:c>
      <x:c r="E9" s="95">
        <x:v>15</x:v>
      </x:c>
      <x:c r="F9" s="93" t="s">
        <x:v>124</x:v>
      </x:c>
      <x:c r="G9" s="93" t="s">
        <x:v>679</x:v>
      </x:c>
      <x:c r="H9" s="96">
        <x:v>46310</x:v>
      </x:c>
      <x:c r="I9" s="97">
        <x:v>37.93</x:v>
      </x:c>
      <x:c r="J9" s="98">
        <x:v>12600</x:v>
      </x:c>
      <x:c r="K9" s="99">
        <x:f t="shared" si="0"/>
        <x:v>7168770</x:v>
      </x:c>
      <x:c r="L9" s="101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 spans="1:26">
      <x:c r="A10" s="84" t="s">
        <x:v>646</x:v>
      </x:c>
      <x:c r="B10" s="84" t="s">
        <x:v>573</x:v>
      </x:c>
      <x:c r="C10" s="84" t="s">
        <x:v>627</x:v>
      </x:c>
      <x:c r="D10" s="86" t="s">
        <x:v>540</x:v>
      </x:c>
      <x:c r="E10" s="87">
        <x:v>85</x:v>
      </x:c>
      <x:c r="F10" s="84" t="s">
        <x:v>124</x:v>
      </x:c>
      <x:c r="G10" s="84" t="s">
        <x:v>679</x:v>
      </x:c>
      <x:c r="H10" s="88">
        <x:v>46317</x:v>
      </x:c>
      <x:c r="I10" s="89">
        <x:v>36.390000000000001</x:v>
      </x:c>
      <x:c r="J10" s="90">
        <x:v>12600</x:v>
      </x:c>
      <x:c r="K10" s="91">
        <x:f t="shared" si="0"/>
        <x:v>38973690</x:v>
      </x:c>
      <x:c r="L10" s="10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 spans="1:26">
      <x:c r="A11" s="93" t="s">
        <x:v>646</x:v>
      </x:c>
      <x:c r="B11" s="93" t="s">
        <x:v>573</x:v>
      </x:c>
      <x:c r="C11" s="93" t="s">
        <x:v>627</x:v>
      </x:c>
      <x:c r="D11" s="94" t="s">
        <x:v>540</x:v>
      </x:c>
      <x:c r="E11" s="95">
        <x:v>62</x:v>
      </x:c>
      <x:c r="F11" s="93" t="s">
        <x:v>242</x:v>
      </x:c>
      <x:c r="G11" s="93" t="s">
        <x:v>679</x:v>
      </x:c>
      <x:c r="H11" s="96">
        <x:v>46347</x:v>
      </x:c>
      <x:c r="I11" s="97">
        <x:v>36.857580650000003</x:v>
      </x:c>
      <x:c r="J11" s="98">
        <x:v>12600</x:v>
      </x:c>
      <x:c r="K11" s="99">
        <x:f t="shared" si="0"/>
        <x:v>28793142.003780004</x:v>
      </x:c>
      <x:c r="L11" s="101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 spans="1:26">
      <x:c r="A12" s="84" t="s">
        <x:v>646</x:v>
      </x:c>
      <x:c r="B12" s="84" t="s">
        <x:v>573</x:v>
      </x:c>
      <x:c r="C12" s="84" t="s">
        <x:v>627</x:v>
      </x:c>
      <x:c r="D12" s="86" t="s">
        <x:v>769</x:v>
      </x:c>
      <x:c r="E12" s="87">
        <x:v>10</x:v>
      </x:c>
      <x:c r="F12" s="84" t="s">
        <x:v>242</x:v>
      </x:c>
      <x:c r="G12" s="84" t="s">
        <x:v>679</x:v>
      </x:c>
      <x:c r="H12" s="88">
        <x:v>46357</x:v>
      </x:c>
      <x:c r="I12" s="89">
        <x:v>35.9405</x:v>
      </x:c>
      <x:c r="J12" s="90">
        <x:v>12600</x:v>
      </x:c>
      <x:c r="K12" s="91">
        <x:f t="shared" si="0"/>
        <x:v>4528503</x:v>
      </x:c>
      <x:c r="L12" s="10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 spans="1:26">
      <x:c r="A13" s="93" t="s">
        <x:v>646</x:v>
      </x:c>
      <x:c r="B13" s="93" t="s">
        <x:v>573</x:v>
      </x:c>
      <x:c r="C13" s="93" t="s">
        <x:v>616</x:v>
      </x:c>
      <x:c r="D13" s="94" t="s">
        <x:v>540</x:v>
      </x:c>
      <x:c r="E13" s="95">
        <x:v>9</x:v>
      </x:c>
      <x:c r="F13" s="93" t="s">
        <x:v>262</x:v>
      </x:c>
      <x:c r="G13" s="93" t="s">
        <x:v>754</x:v>
      </x:c>
      <x:c r="H13" s="96">
        <x:v>46272</x:v>
      </x:c>
      <x:c r="I13" s="97">
        <x:v>36.280000000000001</x:v>
      </x:c>
      <x:c r="J13" s="98">
        <x:v>12600</x:v>
      </x:c>
      <x:c r="K13" s="99">
        <x:f t="shared" si="0"/>
        <x:v>4114152</x:v>
      </x:c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 spans="1:26">
      <x:c r="A14" s="84" t="s">
        <x:v>646</x:v>
      </x:c>
      <x:c r="B14" s="84" t="s">
        <x:v>573</x:v>
      </x:c>
      <x:c r="C14" s="84" t="s">
        <x:v>616</x:v>
      </x:c>
      <x:c r="D14" s="86" t="s">
        <x:v>769</x:v>
      </x:c>
      <x:c r="E14" s="87">
        <x:v>37</x:v>
      </x:c>
      <x:c r="F14" s="84" t="s">
        <x:v>262</x:v>
      </x:c>
      <x:c r="G14" s="84" t="s">
        <x:v>754</x:v>
      </x:c>
      <x:c r="H14" s="88">
        <x:v>46272</x:v>
      </x:c>
      <x:c r="I14" s="89">
        <x:v>36.439999999999998</x:v>
      </x:c>
      <x:c r="J14" s="90">
        <x:v>12600</x:v>
      </x:c>
      <x:c r="K14" s="91">
        <x:f t="shared" si="0"/>
        <x:v>16988328</x:v>
      </x:c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 spans="1:26">
      <x:c r="A15" s="93" t="s">
        <x:v>646</x:v>
      </x:c>
      <x:c r="B15" s="93" t="s">
        <x:v>573</x:v>
      </x:c>
      <x:c r="C15" s="93" t="s">
        <x:v>636</x:v>
      </x:c>
      <x:c r="D15" s="94" t="s">
        <x:v>769</x:v>
      </x:c>
      <x:c r="E15" s="95">
        <x:v>25</x:v>
      </x:c>
      <x:c r="F15" s="93" t="s">
        <x:v>118</x:v>
      </x:c>
      <x:c r="G15" s="93" t="s">
        <x:v>722</x:v>
      </x:c>
      <x:c r="H15" s="96">
        <x:v>46350</x:v>
      </x:c>
      <x:c r="I15" s="97">
        <x:v>34.825200000000002</x:v>
      </x:c>
      <x:c r="J15" s="99">
        <x:v>12700</x:v>
      </x:c>
      <x:c r="K15" s="99">
        <x:f t="shared" si="0"/>
        <x:v>11057001</x:v>
      </x:c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 spans="1:26">
      <x:c r="A16" s="84" t="s">
        <x:v>663</x:v>
      </x:c>
      <x:c r="B16" s="84" t="s">
        <x:v>533</x:v>
      </x:c>
      <x:c r="C16" s="84" t="s">
        <x:v>627</x:v>
      </x:c>
      <x:c r="D16" s="86" t="s">
        <x:v>625</x:v>
      </x:c>
      <x:c r="E16" s="87">
        <x:v>143</x:v>
      </x:c>
      <x:c r="F16" s="84" t="s">
        <x:v>799</x:v>
      </x:c>
      <x:c r="G16" s="84" t="s">
        <x:v>617</x:v>
      </x:c>
      <x:c r="H16" s="88">
        <x:v>46378</x:v>
      </x:c>
      <x:c r="I16" s="89">
        <x:v>26.879999999999999</x:v>
      </x:c>
      <x:c r="J16" s="90">
        <x:v>20000</x:v>
      </x:c>
      <x:c r="K16" s="91">
        <x:f t="shared" si="0"/>
        <x:v>76876800</x:v>
      </x:c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 spans="1:26">
      <x:c r="A17" s="93" t="s">
        <x:v>663</x:v>
      </x:c>
      <x:c r="B17" s="93" t="s">
        <x:v>533</x:v>
      </x:c>
      <x:c r="C17" s="93" t="s">
        <x:v>627</x:v>
      </x:c>
      <x:c r="D17" s="94" t="s">
        <x:v>618</x:v>
      </x:c>
      <x:c r="E17" s="95">
        <x:v>42</x:v>
      </x:c>
      <x:c r="F17" s="93" t="s">
        <x:v>234</x:v>
      </x:c>
      <x:c r="G17" s="93" t="s">
        <x:v>617</x:v>
      </x:c>
      <x:c r="H17" s="96">
        <x:v>46394</x:v>
      </x:c>
      <x:c r="I17" s="97">
        <x:v>28.879999999999999</x:v>
      </x:c>
      <x:c r="J17" s="98">
        <x:v>20000</x:v>
      </x:c>
      <x:c r="K17" s="99">
        <x:f t="shared" si="0"/>
        <x:v>24259200</x:v>
      </x:c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 spans="1:26">
      <x:c r="A18" s="84" t="s">
        <x:v>663</x:v>
      </x:c>
      <x:c r="B18" s="84" t="s">
        <x:v>533</x:v>
      </x:c>
      <x:c r="C18" s="84" t="s">
        <x:v>627</x:v>
      </x:c>
      <x:c r="D18" s="86" t="s">
        <x:v>618</x:v>
      </x:c>
      <x:c r="E18" s="87">
        <x:v>91</x:v>
      </x:c>
      <x:c r="F18" s="84" t="s">
        <x:v>234</x:v>
      </x:c>
      <x:c r="G18" s="84" t="s">
        <x:v>679</x:v>
      </x:c>
      <x:c r="H18" s="88">
        <x:v>46394</x:v>
      </x:c>
      <x:c r="I18" s="89">
        <x:v>28.879999999999999</x:v>
      </x:c>
      <x:c r="J18" s="90">
        <x:v>20000</x:v>
      </x:c>
      <x:c r="K18" s="91">
        <x:f t="shared" si="0"/>
        <x:v>52561600</x:v>
      </x:c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 spans="1:26">
      <x:c r="A19" s="93" t="s">
        <x:v>663</x:v>
      </x:c>
      <x:c r="B19" s="93" t="s">
        <x:v>573</x:v>
      </x:c>
      <x:c r="C19" s="93" t="s">
        <x:v>627</x:v>
      </x:c>
      <x:c r="D19" s="94" t="s">
        <x:v>769</x:v>
      </x:c>
      <x:c r="E19" s="95">
        <x:v>83</x:v>
      </x:c>
      <x:c r="F19" s="93" t="s">
        <x:v>173</x:v>
      </x:c>
      <x:c r="G19" s="93" t="s">
        <x:v>617</x:v>
      </x:c>
      <x:c r="H19" s="96">
        <x:v>46239</x:v>
      </x:c>
      <x:c r="I19" s="97">
        <x:v>26.5</x:v>
      </x:c>
      <x:c r="J19" s="98">
        <x:v>21000</x:v>
      </x:c>
      <x:c r="K19" s="99">
        <x:f t="shared" si="0"/>
        <x:v>46189500</x:v>
      </x:c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  <x:row r="20" spans="1:26">
      <x:c r="A20" s="84" t="s">
        <x:v>663</x:v>
      </x:c>
      <x:c r="B20" s="84" t="s">
        <x:v>573</x:v>
      </x:c>
      <x:c r="C20" s="84" t="s">
        <x:v>627</x:v>
      </x:c>
      <x:c r="D20" s="86" t="s">
        <x:v>769</x:v>
      </x:c>
      <x:c r="E20" s="87">
        <x:v>56</x:v>
      </x:c>
      <x:c r="F20" s="84" t="s">
        <x:v>111</x:v>
      </x:c>
      <x:c r="G20" s="84" t="s">
        <x:v>679</x:v>
      </x:c>
      <x:c r="H20" s="88">
        <x:v>46340</x:v>
      </x:c>
      <x:c r="I20" s="89">
        <x:v>26.23</x:v>
      </x:c>
      <x:c r="J20" s="90">
        <x:v>21000</x:v>
      </x:c>
      <x:c r="K20" s="91">
        <x:f t="shared" si="0"/>
        <x:v>30846480</x:v>
      </x:c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 spans="1:26">
      <x:c r="A21" s="93" t="s">
        <x:v>663</x:v>
      </x:c>
      <x:c r="B21" s="93" t="s">
        <x:v>573</x:v>
      </x:c>
      <x:c r="C21" s="93" t="s">
        <x:v>616</x:v>
      </x:c>
      <x:c r="D21" s="94" t="s">
        <x:v>540</x:v>
      </x:c>
      <x:c r="E21" s="95">
        <x:v>50</x:v>
      </x:c>
      <x:c r="F21" s="93" t="s">
        <x:v>1124</x:v>
      </x:c>
      <x:c r="G21" s="93" t="s">
        <x:v>564</x:v>
      </x:c>
      <x:c r="H21" s="96">
        <x:v>46200</x:v>
      </x:c>
      <x:c r="I21" s="97">
        <x:v>24.739999999999998</x:v>
      </x:c>
      <x:c r="J21" s="98">
        <x:v>20500</x:v>
      </x:c>
      <x:c r="K21" s="99">
        <x:f t="shared" si="0"/>
        <x:v>25358499.999999996</x:v>
      </x:c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</x:row>
    <x:row r="22" spans="1:26">
      <x:c r="A22" s="84" t="s">
        <x:v>745</x:v>
      </x:c>
      <x:c r="B22" s="84" t="s">
        <x:v>533</x:v>
      </x:c>
      <x:c r="C22" s="84" t="s">
        <x:v>627</x:v>
      </x:c>
      <x:c r="D22" s="86" t="s">
        <x:v>635</x:v>
      </x:c>
      <x:c r="E22" s="87">
        <x:v>106</x:v>
      </x:c>
      <x:c r="F22" s="84" t="s">
        <x:v>275</x:v>
      </x:c>
      <x:c r="G22" s="84" t="s">
        <x:v>679</x:v>
      </x:c>
      <x:c r="H22" s="88">
        <x:v>46255</x:v>
      </x:c>
      <x:c r="I22" s="89">
        <x:v>16.260000000000002</x:v>
      </x:c>
      <x:c r="J22" s="90">
        <x:v>20800</x:v>
      </x:c>
      <x:c r="K22" s="91">
        <x:f t="shared" si="0"/>
        <x:v>35850048.000000007</x:v>
      </x:c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 spans="1:26">
      <x:c r="A23" s="93" t="s">
        <x:v>763</x:v>
      </x:c>
      <x:c r="B23" s="93" t="s">
        <x:v>533</x:v>
      </x:c>
      <x:c r="C23" s="93" t="s">
        <x:v>657</x:v>
      </x:c>
      <x:c r="D23" s="94" t="s">
        <x:v>746</x:v>
      </x:c>
      <x:c r="E23" s="95">
        <x:v>139</x:v>
      </x:c>
      <x:c r="F23" s="93" t="s">
        <x:v>818</x:v>
      </x:c>
      <x:c r="G23" s="93" t="s">
        <x:v>722</x:v>
      </x:c>
      <x:c r="H23" s="96">
        <x:v>46368</x:v>
      </x:c>
      <x:c r="I23" s="97">
        <x:v>29.039999999999999</x:v>
      </x:c>
      <x:c r="J23" s="98">
        <x:v>11600</x:v>
      </x:c>
      <x:c r="K23" s="99">
        <x:f t="shared" si="0"/>
        <x:v>46824096</x:v>
      </x:c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</x:row>
    <x:row r="24" spans="1:26">
      <x:c r="A24" s="84" t="s">
        <x:v>763</x:v>
      </x:c>
      <x:c r="B24" s="84" t="s">
        <x:v>533</x:v>
      </x:c>
      <x:c r="C24" s="84" t="s">
        <x:v>657</x:v>
      </x:c>
      <x:c r="D24" s="86" t="s">
        <x:v>746</x:v>
      </x:c>
      <x:c r="E24" s="87">
        <x:v>104</x:v>
      </x:c>
      <x:c r="F24" s="84" t="s">
        <x:v>815</x:v>
      </x:c>
      <x:c r="G24" s="84" t="s">
        <x:v>722</x:v>
      </x:c>
      <x:c r="H24" s="88">
        <x:v>46379</x:v>
      </x:c>
      <x:c r="I24" s="89">
        <x:v>30.640000000000001</x:v>
      </x:c>
      <x:c r="J24" s="90">
        <x:v>11600</x:v>
      </x:c>
      <x:c r="K24" s="91">
        <x:f t="shared" si="0"/>
        <x:v>36964096</x:v>
      </x:c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 spans="1:26">
      <x:c r="A25" s="31" t="s">
        <x:v>727</x:v>
      </x:c>
      <x:c r="B25" s="31" t="s">
        <x:v>533</x:v>
      </x:c>
      <x:c r="C25" s="31"/>
      <x:c r="D25" s="103" t="s">
        <x:v>670</x:v>
      </x:c>
      <x:c r="E25" s="24">
        <x:v>569</x:v>
      </x:c>
      <x:c r="F25" s="31" t="s">
        <x:v>107</x:v>
      </x:c>
      <x:c r="G25" s="31" t="s">
        <x:v>679</x:v>
      </x:c>
      <x:c r="H25" s="35">
        <x:v>46298</x:v>
      </x:c>
      <x:c r="I25" s="27">
        <x:v>6.7999999999999998</x:v>
      </x:c>
      <x:c r="J25" s="98">
        <x:v>7800</x:v>
      </x:c>
      <x:c r="K25" s="99">
        <x:f t="shared" si="0"/>
        <x:v>30179760</x:v>
      </x:c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</x:row>
    <x:row r="26" spans="1:26">
      <x:c r="A26" s="30" t="s">
        <x:v>727</x:v>
      </x:c>
      <x:c r="B26" s="30" t="s">
        <x:v>533</x:v>
      </x:c>
      <x:c r="C26" s="30"/>
      <x:c r="D26" s="104" t="s">
        <x:v>625</x:v>
      </x:c>
      <x:c r="E26" s="21">
        <x:v>599</x:v>
      </x:c>
      <x:c r="F26" s="30" t="s">
        <x:v>812</x:v>
      </x:c>
      <x:c r="G26" s="30" t="s">
        <x:v>679</x:v>
      </x:c>
      <x:c r="H26" s="33">
        <x:v>46301</x:v>
      </x:c>
      <x:c r="I26" s="26">
        <x:v>6.7999999999999998</x:v>
      </x:c>
      <x:c r="J26" s="90">
        <x:v>7800</x:v>
      </x:c>
      <x:c r="K26" s="91">
        <x:f t="shared" si="0"/>
        <x:v>31770960</x:v>
      </x:c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 spans="1:26">
      <x:c r="A27" s="93" t="s">
        <x:v>727</x:v>
      </x:c>
      <x:c r="B27" s="93" t="s">
        <x:v>573</x:v>
      </x:c>
      <x:c r="C27" s="105"/>
      <x:c r="D27" s="94" t="s">
        <x:v>685</x:v>
      </x:c>
      <x:c r="E27" s="95">
        <x:v>180</x:v>
      </x:c>
      <x:c r="F27" s="93" t="s">
        <x:v>233</x:v>
      </x:c>
      <x:c r="G27" s="93" t="s">
        <x:v>564</x:v>
      </x:c>
      <x:c r="H27" s="96">
        <x:v>46128</x:v>
      </x:c>
      <x:c r="I27" s="97">
        <x:v>9.9800000000000004</x:v>
      </x:c>
      <x:c r="J27" s="99">
        <x:v>7800</x:v>
      </x:c>
      <x:c r="K27" s="99">
        <x:f t="shared" si="0"/>
        <x:v>14011920</x:v>
      </x:c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</x:row>
    <x:row r="28" spans="1:26">
      <x:c r="A28" s="84" t="s">
        <x:v>727</x:v>
      </x:c>
      <x:c r="B28" s="84" t="s">
        <x:v>573</x:v>
      </x:c>
      <x:c r="C28" s="85"/>
      <x:c r="D28" s="86" t="s">
        <x:v>540</x:v>
      </x:c>
      <x:c r="E28" s="87">
        <x:v>81</x:v>
      </x:c>
      <x:c r="F28" s="84" t="s">
        <x:v>1099</x:v>
      </x:c>
      <x:c r="G28" s="84" t="s">
        <x:v>679</x:v>
      </x:c>
      <x:c r="H28" s="88">
        <x:v>46287</x:v>
      </x:c>
      <x:c r="I28" s="89">
        <x:v>9.9800000000000004</x:v>
      </x:c>
      <x:c r="J28" s="91">
        <x:v>7800</x:v>
      </x:c>
      <x:c r="K28" s="91">
        <x:f t="shared" si="0"/>
        <x:v>6305364</x:v>
      </x:c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 spans="1:26">
      <x:c r="A29" s="93" t="s">
        <x:v>586</x:v>
      </x:c>
      <x:c r="B29" s="93" t="s">
        <x:v>693</x:v>
      </x:c>
      <x:c r="C29" s="93" t="s">
        <x:v>667</x:v>
      </x:c>
      <x:c r="D29" s="94" t="s">
        <x:v>735</x:v>
      </x:c>
      <x:c r="E29" s="95">
        <x:v>2</x:v>
      </x:c>
      <x:c r="F29" s="93" t="s">
        <x:v>847</x:v>
      </x:c>
      <x:c r="G29" s="93" t="s">
        <x:v>679</x:v>
      </x:c>
      <x:c r="H29" s="96">
        <x:v>46267</x:v>
      </x:c>
      <x:c r="I29" s="97">
        <x:v>18.507638889999999</x:v>
      </x:c>
      <x:c r="J29" s="98">
        <x:v>6600</x:v>
      </x:c>
      <x:c r="K29" s="99">
        <x:f t="shared" si="0"/>
        <x:v>244300.83334799999</x:v>
      </x:c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</x:row>
    <x:row r="30" spans="1:26">
      <x:c r="A30" s="84" t="s">
        <x:v>586</x:v>
      </x:c>
      <x:c r="B30" s="84" t="s">
        <x:v>693</x:v>
      </x:c>
      <x:c r="C30" s="84" t="s">
        <x:v>667</x:v>
      </x:c>
      <x:c r="D30" s="86" t="s">
        <x:v>731</x:v>
      </x:c>
      <x:c r="E30" s="87">
        <x:v>191</x:v>
      </x:c>
      <x:c r="F30" s="84" t="s">
        <x:v>847</x:v>
      </x:c>
      <x:c r="G30" s="84" t="s">
        <x:v>679</x:v>
      </x:c>
      <x:c r="H30" s="88">
        <x:v>46267</x:v>
      </x:c>
      <x:c r="I30" s="89">
        <x:v>18.497817260000001</x:v>
      </x:c>
      <x:c r="J30" s="90">
        <x:v>6600</x:v>
      </x:c>
      <x:c r="K30" s="91">
        <x:f t="shared" si="0"/>
        <x:v>23318348.437956002</x:v>
      </x:c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 spans="1:26">
      <x:c r="A31" s="93" t="s">
        <x:v>586</x:v>
      </x:c>
      <x:c r="B31" s="93" t="s">
        <x:v>693</x:v>
      </x:c>
      <x:c r="C31" s="93" t="s">
        <x:v>667</x:v>
      </x:c>
      <x:c r="D31" s="94" t="s">
        <x:v>778</x:v>
      </x:c>
      <x:c r="E31" s="95">
        <x:v>5</x:v>
      </x:c>
      <x:c r="F31" s="93" t="s">
        <x:v>197</x:v>
      </x:c>
      <x:c r="G31" s="93" t="s">
        <x:v>679</x:v>
      </x:c>
      <x:c r="H31" s="96">
        <x:v>46340</x:v>
      </x:c>
      <x:c r="I31" s="97">
        <x:v>16.234838709999998</x:v>
      </x:c>
      <x:c r="J31" s="98">
        <x:v>6600</x:v>
      </x:c>
      <x:c r="K31" s="99">
        <x:f t="shared" si="0"/>
        <x:v>535749.67742999992</x:v>
      </x:c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</x:row>
    <x:row r="32" spans="1:26">
      <x:c r="A32" s="84" t="s">
        <x:v>586</x:v>
      </x:c>
      <x:c r="B32" s="84" t="s">
        <x:v>693</x:v>
      </x:c>
      <x:c r="C32" s="84" t="s">
        <x:v>667</x:v>
      </x:c>
      <x:c r="D32" s="86" t="s">
        <x:v>735</x:v>
      </x:c>
      <x:c r="E32" s="87">
        <x:v>80</x:v>
      </x:c>
      <x:c r="F32" s="84" t="s">
        <x:v>197</x:v>
      </x:c>
      <x:c r="G32" s="84" t="s">
        <x:v>679</x:v>
      </x:c>
      <x:c r="H32" s="88">
        <x:v>46340</x:v>
      </x:c>
      <x:c r="I32" s="89">
        <x:v>18.518315789999999</x:v>
      </x:c>
      <x:c r="J32" s="90">
        <x:v>6600</x:v>
      </x:c>
      <x:c r="K32" s="91">
        <x:f t="shared" si="0"/>
        <x:v>9777670.7371199988</x:v>
      </x:c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 spans="1:26">
      <x:c r="A33" s="93" t="s">
        <x:v>586</x:v>
      </x:c>
      <x:c r="B33" s="93" t="s">
        <x:v>693</x:v>
      </x:c>
      <x:c r="C33" s="93" t="s">
        <x:v>667</x:v>
      </x:c>
      <x:c r="D33" s="94" t="s">
        <x:v>731</x:v>
      </x:c>
      <x:c r="E33" s="95">
        <x:v>132</x:v>
      </x:c>
      <x:c r="F33" s="93" t="s">
        <x:v>197</x:v>
      </x:c>
      <x:c r="G33" s="93" t="s">
        <x:v>679</x:v>
      </x:c>
      <x:c r="H33" s="96">
        <x:v>46340</x:v>
      </x:c>
      <x:c r="I33" s="97">
        <x:v>18.279318180000001</x:v>
      </x:c>
      <x:c r="J33" s="98">
        <x:v>6600</x:v>
      </x:c>
      <x:c r="K33" s="99">
        <x:f t="shared" si="0"/>
        <x:v>15924941.998416001</x:v>
      </x:c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</x:row>
    <x:row r="34" spans="1:26">
      <x:c r="A34" s="84" t="s">
        <x:v>586</x:v>
      </x:c>
      <x:c r="B34" s="84" t="s">
        <x:v>693</x:v>
      </x:c>
      <x:c r="C34" s="84" t="s">
        <x:v>667</x:v>
      </x:c>
      <x:c r="D34" s="86" t="s">
        <x:v>735</x:v>
      </x:c>
      <x:c r="E34" s="87">
        <x:v>41</x:v>
      </x:c>
      <x:c r="F34" s="84" t="s">
        <x:v>65</x:v>
      </x:c>
      <x:c r="G34" s="84" t="s">
        <x:v>679</x:v>
      </x:c>
      <x:c r="H34" s="88">
        <x:v>46360</x:v>
      </x:c>
      <x:c r="I34" s="89">
        <x:v>18.522926829999999</x:v>
      </x:c>
      <x:c r="J34" s="90">
        <x:v>6600</x:v>
      </x:c>
      <x:c r="K34" s="91">
        <x:f t="shared" si="0"/>
        <x:v>5012304.0001980001</x:v>
      </x:c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 spans="1:26">
      <x:c r="A35" s="93" t="s">
        <x:v>586</x:v>
      </x:c>
      <x:c r="B35" s="93" t="s">
        <x:v>693</x:v>
      </x:c>
      <x:c r="C35" s="93" t="s">
        <x:v>667</x:v>
      </x:c>
      <x:c r="D35" s="94" t="s">
        <x:v>778</x:v>
      </x:c>
      <x:c r="E35" s="95">
        <x:v>72</x:v>
      </x:c>
      <x:c r="F35" s="93" t="s">
        <x:v>65</x:v>
      </x:c>
      <x:c r="G35" s="93" t="s">
        <x:v>679</x:v>
      </x:c>
      <x:c r="H35" s="96">
        <x:v>46360</x:v>
      </x:c>
      <x:c r="I35" s="97">
        <x:v>16.240833330000001</x:v>
      </x:c>
      <x:c r="J35" s="98">
        <x:v>6600</x:v>
      </x:c>
      <x:c r="K35" s="99">
        <x:f t="shared" si="0"/>
        <x:v>7717643.998416001</x:v>
      </x:c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</x:row>
    <x:row r="36" spans="1:26">
      <x:c r="A36" s="84" t="s">
        <x:v>586</x:v>
      </x:c>
      <x:c r="B36" s="84" t="s">
        <x:v>693</x:v>
      </x:c>
      <x:c r="C36" s="84" t="s">
        <x:v>667</x:v>
      </x:c>
      <x:c r="D36" s="86" t="s">
        <x:v>731</x:v>
      </x:c>
      <x:c r="E36" s="87">
        <x:v>108</x:v>
      </x:c>
      <x:c r="F36" s="84" t="s">
        <x:v>65</x:v>
      </x:c>
      <x:c r="G36" s="84" t="s">
        <x:v>679</x:v>
      </x:c>
      <x:c r="H36" s="88">
        <x:v>46360</x:v>
      </x:c>
      <x:c r="I36" s="89">
        <x:v>18.072777779999999</x:v>
      </x:c>
      <x:c r="J36" s="90">
        <x:v>6600</x:v>
      </x:c>
      <x:c r="K36" s="91">
        <x:f t="shared" si="0"/>
        <x:v>12882276.001584001</x:v>
      </x:c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 spans="1:26">
      <x:c r="A37" s="93" t="s">
        <x:v>768</x:v>
      </x:c>
      <x:c r="B37" s="93" t="s">
        <x:v>82</x:v>
      </x:c>
      <x:c r="C37" s="93" t="s">
        <x:v>531</x:v>
      </x:c>
      <x:c r="D37" s="94" t="s">
        <x:v>773</x:v>
      </x:c>
      <x:c r="E37" s="95">
        <x:v>3</x:v>
      </x:c>
      <x:c r="F37" s="93" t="s">
        <x:v>843</x:v>
      </x:c>
      <x:c r="G37" s="93" t="s">
        <x:v>652</x:v>
      </x:c>
      <x:c r="H37" s="96">
        <x:v>45994</x:v>
      </x:c>
      <x:c r="I37" s="97">
        <x:v>23.170000000000002</x:v>
      </x:c>
      <x:c r="J37" s="98">
        <x:v>11400</x:v>
      </x:c>
      <x:c r="K37" s="99">
        <x:f t="shared" si="0"/>
        <x:v>792414</x:v>
      </x:c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</x:row>
    <x:row r="38" spans="1:26">
      <x:c r="A38" s="84" t="s">
        <x:v>768</x:v>
      </x:c>
      <x:c r="B38" s="84" t="s">
        <x:v>82</x:v>
      </x:c>
      <x:c r="C38" s="84" t="s">
        <x:v>531</x:v>
      </x:c>
      <x:c r="D38" s="86" t="s">
        <x:v>773</x:v>
      </x:c>
      <x:c r="E38" s="87">
        <x:v>30</x:v>
      </x:c>
      <x:c r="F38" s="84" t="s">
        <x:v>979</x:v>
      </x:c>
      <x:c r="G38" s="84" t="s">
        <x:v>652</x:v>
      </x:c>
      <x:c r="H38" s="88">
        <x:v>45998</x:v>
      </x:c>
      <x:c r="I38" s="89">
        <x:v>22.09</x:v>
      </x:c>
      <x:c r="J38" s="90">
        <x:v>11400</x:v>
      </x:c>
      <x:c r="K38" s="91">
        <x:f t="shared" si="0"/>
        <x:v>7554780</x:v>
      </x:c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 spans="1:26">
      <x:c r="A39" s="93" t="s">
        <x:v>768</x:v>
      </x:c>
      <x:c r="B39" s="93" t="s">
        <x:v>82</x:v>
      </x:c>
      <x:c r="C39" s="93" t="s">
        <x:v>531</x:v>
      </x:c>
      <x:c r="D39" s="94" t="s">
        <x:v>773</x:v>
      </x:c>
      <x:c r="E39" s="95">
        <x:v>30</x:v>
      </x:c>
      <x:c r="F39" s="93" t="s">
        <x:v>985</x:v>
      </x:c>
      <x:c r="G39" s="93" t="s">
        <x:v>652</x:v>
      </x:c>
      <x:c r="H39" s="96">
        <x:v>45998</x:v>
      </x:c>
      <x:c r="I39" s="97">
        <x:v>20.960000000000001</x:v>
      </x:c>
      <x:c r="J39" s="98">
        <x:v>11400</x:v>
      </x:c>
      <x:c r="K39" s="99">
        <x:f t="shared" si="0"/>
        <x:v>7168320</x:v>
      </x:c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</x:row>
    <x:row r="40" spans="1:26">
      <x:c r="A40" s="84" t="s">
        <x:v>768</x:v>
      </x:c>
      <x:c r="B40" s="84" t="s">
        <x:v>82</x:v>
      </x:c>
      <x:c r="C40" s="84" t="s">
        <x:v>531</x:v>
      </x:c>
      <x:c r="D40" s="86" t="s">
        <x:v>773</x:v>
      </x:c>
      <x:c r="E40" s="87">
        <x:v>33</x:v>
      </x:c>
      <x:c r="F40" s="84" t="s">
        <x:v>1123</x:v>
      </x:c>
      <x:c r="G40" s="84" t="s">
        <x:v>652</x:v>
      </x:c>
      <x:c r="H40" s="88">
        <x:v>46033</x:v>
      </x:c>
      <x:c r="I40" s="89">
        <x:v>19.899999999999999</x:v>
      </x:c>
      <x:c r="J40" s="90">
        <x:v>11400</x:v>
      </x:c>
      <x:c r="K40" s="91">
        <x:f t="shared" si="0"/>
        <x:v>7486379.9999999991</x:v>
      </x:c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 spans="1:26">
      <x:c r="A41" s="93" t="s">
        <x:v>768</x:v>
      </x:c>
      <x:c r="B41" s="93" t="s">
        <x:v>82</x:v>
      </x:c>
      <x:c r="C41" s="93" t="s">
        <x:v>531</x:v>
      </x:c>
      <x:c r="D41" s="94" t="s">
        <x:v>773</x:v>
      </x:c>
      <x:c r="E41" s="95">
        <x:v>12</x:v>
      </x:c>
      <x:c r="F41" s="93" t="s">
        <x:v>958</x:v>
      </x:c>
      <x:c r="G41" s="93" t="s">
        <x:v>652</x:v>
      </x:c>
      <x:c r="H41" s="96">
        <x:v>46081</x:v>
      </x:c>
      <x:c r="I41" s="97">
        <x:v>22.850000000000001</x:v>
      </x:c>
      <x:c r="J41" s="98">
        <x:v>11400</x:v>
      </x:c>
      <x:c r="K41" s="99">
        <x:f t="shared" si="0"/>
        <x:v>3125880.0000000005</x:v>
      </x:c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</x:row>
    <x:row r="42" spans="1:26">
      <x:c r="A42" s="84" t="s">
        <x:v>768</x:v>
      </x:c>
      <x:c r="B42" s="84" t="s">
        <x:v>82</x:v>
      </x:c>
      <x:c r="C42" s="84" t="s">
        <x:v>531</x:v>
      </x:c>
      <x:c r="D42" s="86" t="s">
        <x:v>773</x:v>
      </x:c>
      <x:c r="E42" s="87">
        <x:v>30</x:v>
      </x:c>
      <x:c r="F42" s="84" t="s">
        <x:v>1130</x:v>
      </x:c>
      <x:c r="G42" s="84" t="s">
        <x:v>652</x:v>
      </x:c>
      <x:c r="H42" s="88">
        <x:v>46123</x:v>
      </x:c>
      <x:c r="I42" s="89">
        <x:v>22.170000000000002</x:v>
      </x:c>
      <x:c r="J42" s="90">
        <x:v>11400</x:v>
      </x:c>
      <x:c r="K42" s="91">
        <x:f t="shared" si="0"/>
        <x:v>7582140.0000000009</x:v>
      </x:c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 spans="1:26">
      <x:c r="A43" s="93" t="s">
        <x:v>749</x:v>
      </x:c>
      <x:c r="B43" s="93" t="s">
        <x:v>311</x:v>
      </x:c>
      <x:c r="C43" s="105"/>
      <x:c r="D43" s="94" t="s">
        <x:v>713</x:v>
      </x:c>
      <x:c r="E43" s="95">
        <x:v>28</x:v>
      </x:c>
      <x:c r="F43" s="93" t="s">
        <x:v>996</x:v>
      </x:c>
      <x:c r="G43" s="93" t="s">
        <x:v>679</x:v>
      </x:c>
      <x:c r="H43" s="96">
        <x:v>46312</x:v>
      </x:c>
      <x:c r="I43" s="97">
        <x:v>27.199999999999999</x:v>
      </x:c>
      <x:c r="J43" s="99">
        <x:v>6500</x:v>
      </x:c>
      <x:c r="K43" s="99">
        <x:f t="shared" si="0"/>
        <x:v>4950400</x:v>
      </x:c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</x:row>
    <x:row r="44" spans="1:26">
      <x:c r="A44" s="84" t="s">
        <x:v>749</x:v>
      </x:c>
      <x:c r="B44" s="84" t="s">
        <x:v>311</x:v>
      </x:c>
      <x:c r="C44" s="85"/>
      <x:c r="D44" s="86" t="s">
        <x:v>760</x:v>
      </x:c>
      <x:c r="E44" s="87">
        <x:v>36</x:v>
      </x:c>
      <x:c r="F44" s="84" t="s">
        <x:v>105</x:v>
      </x:c>
      <x:c r="G44" s="84" t="s">
        <x:v>679</x:v>
      </x:c>
      <x:c r="H44" s="88">
        <x:v>46318</x:v>
      </x:c>
      <x:c r="I44" s="89">
        <x:v>27.199999999999999</x:v>
      </x:c>
      <x:c r="J44" s="91">
        <x:v>6500</x:v>
      </x:c>
      <x:c r="K44" s="91">
        <x:f t="shared" si="0"/>
        <x:v>6364800</x:v>
      </x:c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 spans="1:26">
      <x:c r="A45" s="93" t="s">
        <x:v>749</x:v>
      </x:c>
      <x:c r="B45" s="93" t="s">
        <x:v>311</x:v>
      </x:c>
      <x:c r="C45" s="105"/>
      <x:c r="D45" s="94" t="s">
        <x:v>713</x:v>
      </x:c>
      <x:c r="E45" s="95">
        <x:v>35</x:v>
      </x:c>
      <x:c r="F45" s="93" t="s">
        <x:v>988</x:v>
      </x:c>
      <x:c r="G45" s="93" t="s">
        <x:v>679</x:v>
      </x:c>
      <x:c r="H45" s="96">
        <x:v>46333</x:v>
      </x:c>
      <x:c r="I45" s="97">
        <x:v>27.199999999999999</x:v>
      </x:c>
      <x:c r="J45" s="99">
        <x:v>6500</x:v>
      </x:c>
      <x:c r="K45" s="99">
        <x:f t="shared" si="0"/>
        <x:v>6188000</x:v>
      </x:c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</x:row>
    <x:row r="46" spans="1:26">
      <x:c r="A46" s="84" t="s">
        <x:v>749</x:v>
      </x:c>
      <x:c r="B46" s="84" t="s">
        <x:v>311</x:v>
      </x:c>
      <x:c r="C46" s="85"/>
      <x:c r="D46" s="86" t="s">
        <x:v>755</x:v>
      </x:c>
      <x:c r="E46" s="87">
        <x:v>83</x:v>
      </x:c>
      <x:c r="F46" s="84" t="s">
        <x:v>1001</x:v>
      </x:c>
      <x:c r="G46" s="84" t="s">
        <x:v>679</x:v>
      </x:c>
      <x:c r="H46" s="88">
        <x:v>46338</x:v>
      </x:c>
      <x:c r="I46" s="89">
        <x:v>27.199999999999999</x:v>
      </x:c>
      <x:c r="J46" s="91">
        <x:v>6500</x:v>
      </x:c>
      <x:c r="K46" s="91">
        <x:f t="shared" si="0"/>
        <x:v>14674400</x:v>
      </x:c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 spans="1:26">
      <x:c r="A47" s="93" t="s">
        <x:v>749</x:v>
      </x:c>
      <x:c r="B47" s="93" t="s">
        <x:v>311</x:v>
      </x:c>
      <x:c r="C47" s="105"/>
      <x:c r="D47" s="94" t="s">
        <x:v>713</x:v>
      </x:c>
      <x:c r="E47" s="95">
        <x:v>31</x:v>
      </x:c>
      <x:c r="F47" s="93" t="s">
        <x:v>245</x:v>
      </x:c>
      <x:c r="G47" s="93" t="s">
        <x:v>679</x:v>
      </x:c>
      <x:c r="H47" s="96">
        <x:v>46346</x:v>
      </x:c>
      <x:c r="I47" s="97">
        <x:v>27.199999999999999</x:v>
      </x:c>
      <x:c r="J47" s="99">
        <x:v>6500</x:v>
      </x:c>
      <x:c r="K47" s="99">
        <x:f t="shared" si="0"/>
        <x:v>5480800</x:v>
      </x:c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</x:row>
    <x:row r="48" spans="1:26">
      <x:c r="A48" s="84" t="s">
        <x:v>749</x:v>
      </x:c>
      <x:c r="B48" s="84" t="s">
        <x:v>311</x:v>
      </x:c>
      <x:c r="C48" s="85"/>
      <x:c r="D48" s="86" t="s">
        <x:v>713</x:v>
      </x:c>
      <x:c r="E48" s="87">
        <x:v>53</x:v>
      </x:c>
      <x:c r="F48" s="84" t="s">
        <x:v>1002</x:v>
      </x:c>
      <x:c r="G48" s="84" t="s">
        <x:v>679</x:v>
      </x:c>
      <x:c r="H48" s="88">
        <x:v>46357</x:v>
      </x:c>
      <x:c r="I48" s="89">
        <x:v>27.199999999999999</x:v>
      </x:c>
      <x:c r="J48" s="91">
        <x:v>6500</x:v>
      </x:c>
      <x:c r="K48" s="91">
        <x:f t="shared" si="0"/>
        <x:v>9370400</x:v>
      </x:c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 spans="1:26">
      <x:c r="A49" s="93" t="s">
        <x:v>749</x:v>
      </x:c>
      <x:c r="B49" s="93" t="s">
        <x:v>311</x:v>
      </x:c>
      <x:c r="C49" s="105"/>
      <x:c r="D49" s="94" t="s">
        <x:v>755</x:v>
      </x:c>
      <x:c r="E49" s="95">
        <x:v>83</x:v>
      </x:c>
      <x:c r="F49" s="93" t="s">
        <x:v>998</x:v>
      </x:c>
      <x:c r="G49" s="93" t="s">
        <x:v>679</x:v>
      </x:c>
      <x:c r="H49" s="96">
        <x:v>46371</x:v>
      </x:c>
      <x:c r="I49" s="97">
        <x:v>27.199999999999999</x:v>
      </x:c>
      <x:c r="J49" s="99">
        <x:v>6500</x:v>
      </x:c>
      <x:c r="K49" s="99">
        <x:f t="shared" si="0"/>
        <x:v>14674400</x:v>
      </x:c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</x:row>
    <x:row r="50" spans="1:26">
      <x:c r="A50" s="84" t="s">
        <x:v>1068</x:v>
      </x:c>
      <x:c r="B50" s="84" t="s">
        <x:v>693</x:v>
      </x:c>
      <x:c r="C50" s="85"/>
      <x:c r="D50" s="86" t="s">
        <x:v>731</x:v>
      </x:c>
      <x:c r="E50" s="87">
        <x:v>40</x:v>
      </x:c>
      <x:c r="F50" s="84" t="s">
        <x:v>78</x:v>
      </x:c>
      <x:c r="G50" s="84" t="s">
        <x:v>754</x:v>
      </x:c>
      <x:c r="H50" s="88">
        <x:v>46135</x:v>
      </x:c>
      <x:c r="I50" s="89">
        <x:v>26.899999999999999</x:v>
      </x:c>
      <x:c r="J50" s="90">
        <x:v>6650</x:v>
      </x:c>
      <x:c r="K50" s="91">
        <x:f t="shared" si="0"/>
        <x:v>7155400</x:v>
      </x:c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 spans="1:26">
      <x:c r="A51" s="93" t="s">
        <x:v>1068</x:v>
      </x:c>
      <x:c r="B51" s="93" t="s">
        <x:v>693</x:v>
      </x:c>
      <x:c r="C51" s="105"/>
      <x:c r="D51" s="94" t="s">
        <x:v>731</x:v>
      </x:c>
      <x:c r="E51" s="95">
        <x:v>259</x:v>
      </x:c>
      <x:c r="F51" s="93" t="s">
        <x:v>285</x:v>
      </x:c>
      <x:c r="G51" s="93" t="s">
        <x:v>754</x:v>
      </x:c>
      <x:c r="H51" s="96">
        <x:v>46135</x:v>
      </x:c>
      <x:c r="I51" s="97">
        <x:v>26.93</x:v>
      </x:c>
      <x:c r="J51" s="98">
        <x:v>6650</x:v>
      </x:c>
      <x:c r="K51" s="99">
        <x:f t="shared" si="0"/>
        <x:v>46382885.5</x:v>
      </x:c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</x:row>
    <x:row r="52" spans="1:26">
      <x:c r="A52" s="84" t="s">
        <x:v>535</x:v>
      </x:c>
      <x:c r="B52" s="84" t="s">
        <x:v>573</x:v>
      </x:c>
      <x:c r="C52" s="84" t="s">
        <x:v>636</x:v>
      </x:c>
      <x:c r="D52" s="86" t="s">
        <x:v>769</x:v>
      </x:c>
      <x:c r="E52" s="87">
        <x:v>210</x:v>
      </x:c>
      <x:c r="F52" s="84" t="s">
        <x:v>1127</x:v>
      </x:c>
      <x:c r="G52" s="84" t="s">
        <x:v>694</x:v>
      </x:c>
      <x:c r="H52" s="88">
        <x:v>45939</x:v>
      </x:c>
      <x:c r="I52" s="89">
        <x:v>24.59</x:v>
      </x:c>
      <x:c r="J52" s="90">
        <x:v>5050</x:v>
      </x:c>
      <x:c r="K52" s="91">
        <x:f t="shared" si="0"/>
        <x:v>26077695</x:v>
      </x:c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 spans="1:26">
      <x:c r="A53" s="93" t="s">
        <x:v>535</x:v>
      </x:c>
      <x:c r="B53" s="93" t="s">
        <x:v>573</x:v>
      </x:c>
      <x:c r="C53" s="93" t="s">
        <x:v>636</x:v>
      </x:c>
      <x:c r="D53" s="94" t="s">
        <x:v>769</x:v>
      </x:c>
      <x:c r="E53" s="95">
        <x:v>926</x:v>
      </x:c>
      <x:c r="F53" s="93" t="s">
        <x:v>1121</x:v>
      </x:c>
      <x:c r="G53" s="93" t="s">
        <x:v>694</x:v>
      </x:c>
      <x:c r="H53" s="96">
        <x:v>45977</x:v>
      </x:c>
      <x:c r="I53" s="97">
        <x:v>24.300000000000001</x:v>
      </x:c>
      <x:c r="J53" s="98">
        <x:v>5050</x:v>
      </x:c>
      <x:c r="K53" s="99">
        <x:f t="shared" si="0"/>
        <x:v>113634090</x:v>
      </x:c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</x:row>
    <x:row r="54" spans="1:26">
      <x:c r="A54" s="84" t="s">
        <x:v>535</x:v>
      </x:c>
      <x:c r="B54" s="84" t="s">
        <x:v>573</x:v>
      </x:c>
      <x:c r="C54" s="84" t="s">
        <x:v>636</x:v>
      </x:c>
      <x:c r="D54" s="86" t="s">
        <x:v>769</x:v>
      </x:c>
      <x:c r="E54" s="87">
        <x:v>371</x:v>
      </x:c>
      <x:c r="F54" s="84" t="s">
        <x:v>269</x:v>
      </x:c>
      <x:c r="G54" s="84" t="s">
        <x:v>694</x:v>
      </x:c>
      <x:c r="H54" s="88">
        <x:v>45986</x:v>
      </x:c>
      <x:c r="I54" s="89">
        <x:v>23.859999999999999</x:v>
      </x:c>
      <x:c r="J54" s="90">
        <x:v>5050</x:v>
      </x:c>
      <x:c r="K54" s="91">
        <x:f t="shared" si="0"/>
        <x:v>44702903</x:v>
      </x:c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 spans="1:26">
      <x:c r="A55" s="93" t="s">
        <x:v>660</x:v>
      </x:c>
      <x:c r="B55" s="93" t="s">
        <x:v>573</x:v>
      </x:c>
      <x:c r="C55" s="93" t="s">
        <x:v>657</x:v>
      </x:c>
      <x:c r="D55" s="94" t="s">
        <x:v>752</x:v>
      </x:c>
      <x:c r="E55" s="95">
        <x:v>30</x:v>
      </x:c>
      <x:c r="F55" s="93" t="s">
        <x:v>1000</x:v>
      </x:c>
      <x:c r="G55" s="93" t="s">
        <x:v>722</x:v>
      </x:c>
      <x:c r="H55" s="96">
        <x:v>46343</x:v>
      </x:c>
      <x:c r="I55" s="97">
        <x:v>26.710000000000001</x:v>
      </x:c>
      <x:c r="J55" s="98">
        <x:v>15300</x:v>
      </x:c>
      <x:c r="K55" s="99">
        <x:f t="shared" si="0"/>
        <x:v>12259890</x:v>
      </x:c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</x:row>
    <x:row r="56" spans="1:26">
      <x:c r="A56" s="84" t="s">
        <x:v>660</x:v>
      </x:c>
      <x:c r="B56" s="84" t="s">
        <x:v>573</x:v>
      </x:c>
      <x:c r="C56" s="84" t="s">
        <x:v>657</x:v>
      </x:c>
      <x:c r="D56" s="86" t="s">
        <x:v>752</x:v>
      </x:c>
      <x:c r="E56" s="87">
        <x:v>165</x:v>
      </x:c>
      <x:c r="F56" s="84" t="s">
        <x:v>931</x:v>
      </x:c>
      <x:c r="G56" s="84" t="s">
        <x:v>679</x:v>
      </x:c>
      <x:c r="H56" s="88">
        <x:v>46353</x:v>
      </x:c>
      <x:c r="I56" s="89">
        <x:v>24.739999999999998</x:v>
      </x:c>
      <x:c r="J56" s="90">
        <x:v>15300</x:v>
      </x:c>
      <x:c r="K56" s="91">
        <x:f t="shared" si="0"/>
        <x:v>62456130</x:v>
      </x:c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 spans="1:26">
      <x:c r="A57" s="93" t="s">
        <x:v>660</x:v>
      </x:c>
      <x:c r="B57" s="93" t="s">
        <x:v>573</x:v>
      </x:c>
      <x:c r="C57" s="93" t="s">
        <x:v>657</x:v>
      </x:c>
      <x:c r="D57" s="94" t="s">
        <x:v>752</x:v>
      </x:c>
      <x:c r="E57" s="95">
        <x:v>155</x:v>
      </x:c>
      <x:c r="F57" s="93" t="s">
        <x:v>997</x:v>
      </x:c>
      <x:c r="G57" s="93" t="s">
        <x:v>722</x:v>
      </x:c>
      <x:c r="H57" s="96">
        <x:v>46382</x:v>
      </x:c>
      <x:c r="I57" s="97">
        <x:v>26.359999999999999</x:v>
      </x:c>
      <x:c r="J57" s="98">
        <x:v>15300</x:v>
      </x:c>
      <x:c r="K57" s="99">
        <x:f t="shared" si="0"/>
        <x:v>62512740</x:v>
      </x:c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</x:row>
    <x:row r="58" spans="1:26">
      <x:c r="A58" s="84" t="s">
        <x:v>660</x:v>
      </x:c>
      <x:c r="B58" s="84" t="s">
        <x:v>573</x:v>
      </x:c>
      <x:c r="C58" s="84" t="s">
        <x:v>657</x:v>
      </x:c>
      <x:c r="D58" s="86" t="s">
        <x:v>752</x:v>
      </x:c>
      <x:c r="E58" s="87">
        <x:v>156</x:v>
      </x:c>
      <x:c r="F58" s="84" t="s">
        <x:v>995</x:v>
      </x:c>
      <x:c r="G58" s="84" t="s">
        <x:v>722</x:v>
      </x:c>
      <x:c r="H58" s="88">
        <x:v>46383</x:v>
      </x:c>
      <x:c r="I58" s="89">
        <x:v>26.18</x:v>
      </x:c>
      <x:c r="J58" s="90">
        <x:v>15300</x:v>
      </x:c>
      <x:c r="K58" s="91">
        <x:f t="shared" si="0"/>
        <x:v>62486424</x:v>
      </x:c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 spans="1:26">
      <x:c r="A59" s="93" t="s">
        <x:v>682</x:v>
      </x:c>
      <x:c r="B59" s="93" t="s">
        <x:v>573</x:v>
      </x:c>
      <x:c r="C59" s="93" t="s">
        <x:v>627</x:v>
      </x:c>
      <x:c r="D59" s="94" t="s">
        <x:v>769</x:v>
      </x:c>
      <x:c r="E59" s="95">
        <x:v>102</x:v>
      </x:c>
      <x:c r="F59" s="93" t="s">
        <x:v>214</x:v>
      </x:c>
      <x:c r="G59" s="93" t="s">
        <x:v>679</x:v>
      </x:c>
      <x:c r="H59" s="96">
        <x:v>46362</x:v>
      </x:c>
      <x:c r="I59" s="97">
        <x:v>25.57944882</x:v>
      </x:c>
      <x:c r="J59" s="99">
        <x:v>9100</x:v>
      </x:c>
      <x:c r="K59" s="99">
        <x:f t="shared" si="0"/>
        <x:v>23742844.394723997</x:v>
      </x:c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</x:row>
    <x:row r="60" spans="1:26">
      <x:c r="A60" s="84" t="s">
        <x:v>1022</x:v>
      </x:c>
      <x:c r="B60" s="84" t="s">
        <x:v>533</x:v>
      </x:c>
      <x:c r="C60" s="84" t="s">
        <x:v>777</x:v>
      </x:c>
      <x:c r="D60" s="86" t="s">
        <x:v>670</x:v>
      </x:c>
      <x:c r="E60" s="87">
        <x:v>128</x:v>
      </x:c>
      <x:c r="F60" s="84" t="s">
        <x:v>247</x:v>
      </x:c>
      <x:c r="G60" s="84" t="s">
        <x:v>679</x:v>
      </x:c>
      <x:c r="H60" s="88">
        <x:v>46289</x:v>
      </x:c>
      <x:c r="I60" s="89">
        <x:v>16.462751319999999</x:v>
      </x:c>
      <x:c r="J60" s="90">
        <x:v>10500</x:v>
      </x:c>
      <x:c r="K60" s="91">
        <x:f t="shared" si="0"/>
        <x:v>22125937.774079997</x:v>
      </x:c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 spans="1:26">
      <x:c r="A61" s="93" t="s">
        <x:v>1022</x:v>
      </x:c>
      <x:c r="B61" s="93" t="s">
        <x:v>533</x:v>
      </x:c>
      <x:c r="C61" s="93" t="s">
        <x:v>777</x:v>
      </x:c>
      <x:c r="D61" s="94" t="s">
        <x:v>670</x:v>
      </x:c>
      <x:c r="E61" s="95">
        <x:v>168</x:v>
      </x:c>
      <x:c r="F61" s="93" t="s">
        <x:v>993</x:v>
      </x:c>
      <x:c r="G61" s="93" t="s">
        <x:v>722</x:v>
      </x:c>
      <x:c r="H61" s="96">
        <x:v>46329</x:v>
      </x:c>
      <x:c r="I61" s="97">
        <x:v>16.517135140000001</x:v>
      </x:c>
      <x:c r="J61" s="98">
        <x:v>10500</x:v>
      </x:c>
      <x:c r="K61" s="99">
        <x:f t="shared" si="0"/>
        <x:v>29136226.38696</x:v>
      </x:c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</x:row>
    <x:row r="62" spans="1:26">
      <x:c r="A62" s="84" t="s">
        <x:v>1022</x:v>
      </x:c>
      <x:c r="B62" s="84" t="s">
        <x:v>533</x:v>
      </x:c>
      <x:c r="C62" s="84" t="s">
        <x:v>777</x:v>
      </x:c>
      <x:c r="D62" s="86" t="s">
        <x:v>618</x:v>
      </x:c>
      <x:c r="E62" s="87">
        <x:v>200</x:v>
      </x:c>
      <x:c r="F62" s="84" t="s">
        <x:v>86</x:v>
      </x:c>
      <x:c r="G62" s="84" t="s">
        <x:v>722</x:v>
      </x:c>
      <x:c r="H62" s="88">
        <x:v>46330</x:v>
      </x:c>
      <x:c r="I62" s="89">
        <x:v>18.140000000000001</x:v>
      </x:c>
      <x:c r="J62" s="90">
        <x:v>10500</x:v>
      </x:c>
      <x:c r="K62" s="91">
        <x:f t="shared" si="0"/>
        <x:v>38094000</x:v>
      </x:c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 spans="1:26">
      <x:c r="A63" s="93" t="s">
        <x:v>1022</x:v>
      </x:c>
      <x:c r="B63" s="93" t="s">
        <x:v>1096</x:v>
      </x:c>
      <x:c r="C63" s="93" t="s">
        <x:v>636</x:v>
      </x:c>
      <x:c r="D63" s="94" t="s">
        <x:v>776</x:v>
      </x:c>
      <x:c r="E63" s="95">
        <x:v>166</x:v>
      </x:c>
      <x:c r="F63" s="93" t="s">
        <x:v>255</x:v>
      </x:c>
      <x:c r="G63" s="93" t="s">
        <x:v>722</x:v>
      </x:c>
      <x:c r="H63" s="96">
        <x:v>46332</x:v>
      </x:c>
      <x:c r="I63" s="97">
        <x:v>21.41502994</x:v>
      </x:c>
      <x:c r="J63" s="98">
        <x:v>10200</x:v>
      </x:c>
      <x:c r="K63" s="99">
        <x:f t="shared" si="0"/>
        <x:v>36259928.694408</x:v>
      </x:c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</x:row>
    <x:row r="64" spans="1:26">
      <x:c r="A64" s="84" t="s">
        <x:v>1022</x:v>
      </x:c>
      <x:c r="B64" s="84" t="s">
        <x:v>573</x:v>
      </x:c>
      <x:c r="C64" s="84" t="s">
        <x:v>668</x:v>
      </x:c>
      <x:c r="D64" s="86" t="s">
        <x:v>752</x:v>
      </x:c>
      <x:c r="E64" s="87">
        <x:v>192</x:v>
      </x:c>
      <x:c r="F64" s="84" t="s">
        <x:v>986</x:v>
      </x:c>
      <x:c r="G64" s="84" t="s">
        <x:v>679</x:v>
      </x:c>
      <x:c r="H64" s="88">
        <x:v>46353</x:v>
      </x:c>
      <x:c r="I64" s="89">
        <x:v>21.149999999999999</x:v>
      </x:c>
      <x:c r="J64" s="90">
        <x:v>10600</x:v>
      </x:c>
      <x:c r="K64" s="91">
        <x:f t="shared" si="0"/>
        <x:v>43044479.999999993</x:v>
      </x:c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 spans="1:26">
      <x:c r="A65" s="93" t="s">
        <x:v>1022</x:v>
      </x:c>
      <x:c r="B65" s="93" t="s">
        <x:v>573</x:v>
      </x:c>
      <x:c r="C65" s="93" t="s">
        <x:v>636</x:v>
      </x:c>
      <x:c r="D65" s="94" t="s">
        <x:v>540</x:v>
      </x:c>
      <x:c r="E65" s="95">
        <x:v>7</x:v>
      </x:c>
      <x:c r="F65" s="93" t="s">
        <x:v>1129</x:v>
      </x:c>
      <x:c r="G65" s="93" t="s">
        <x:v>617</x:v>
      </x:c>
      <x:c r="H65" s="96">
        <x:v>46296</x:v>
      </x:c>
      <x:c r="I65" s="97">
        <x:v>28.95193548</x:v>
      </x:c>
      <x:c r="J65" s="98">
        <x:v>10500</x:v>
      </x:c>
      <x:c r="K65" s="99">
        <x:f t="shared" si="0"/>
        <x:v>2127967.2577800001</x:v>
      </x:c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</x:row>
    <x:row r="66" spans="1:26">
      <x:c r="A66" s="84" t="s">
        <x:v>1022</x:v>
      </x:c>
      <x:c r="B66" s="84" t="s">
        <x:v>573</x:v>
      </x:c>
      <x:c r="C66" s="84" t="s">
        <x:v>636</x:v>
      </x:c>
      <x:c r="D66" s="86" t="s">
        <x:v>685</x:v>
      </x:c>
      <x:c r="E66" s="87">
        <x:v>60</x:v>
      </x:c>
      <x:c r="F66" s="84" t="s">
        <x:v>250</x:v>
      </x:c>
      <x:c r="G66" s="84" t="s">
        <x:v>722</x:v>
      </x:c>
      <x:c r="H66" s="88">
        <x:v>46302</x:v>
      </x:c>
      <x:c r="I66" s="89">
        <x:v>27.874428569999999</x:v>
      </x:c>
      <x:c r="J66" s="90">
        <x:v>10500</x:v>
      </x:c>
      <x:c r="K66" s="91">
        <x:f t="shared" si="0"/>
        <x:v>17560889.9991</x:v>
      </x:c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 spans="1:26">
      <x:c r="A67" s="93" t="s">
        <x:v>1022</x:v>
      </x:c>
      <x:c r="B67" s="93" t="s">
        <x:v>573</x:v>
      </x:c>
      <x:c r="C67" s="93" t="s">
        <x:v>636</x:v>
      </x:c>
      <x:c r="D67" s="94" t="s">
        <x:v>685</x:v>
      </x:c>
      <x:c r="E67" s="95">
        <x:v>109</x:v>
      </x:c>
      <x:c r="F67" s="93" t="s">
        <x:v>1129</x:v>
      </x:c>
      <x:c r="G67" s="93" t="s">
        <x:v>617</x:v>
      </x:c>
      <x:c r="H67" s="96">
        <x:v>46302</x:v>
      </x:c>
      <x:c r="I67" s="97">
        <x:v>28.15884956</x:v>
      </x:c>
      <x:c r="J67" s="98">
        <x:v>10500</x:v>
      </x:c>
      <x:c r="K67" s="99">
        <x:f t="shared" si="0"/>
        <x:v>32227803.321420003</x:v>
      </x:c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</x:row>
    <x:row r="68" spans="1:26">
      <x:c r="A68" s="84" t="s">
        <x:v>1022</x:v>
      </x:c>
      <x:c r="B68" s="84" t="s">
        <x:v>573</x:v>
      </x:c>
      <x:c r="C68" s="84" t="s">
        <x:v>636</x:v>
      </x:c>
      <x:c r="D68" s="86" t="s">
        <x:v>685</x:v>
      </x:c>
      <x:c r="E68" s="87">
        <x:v>72</x:v>
      </x:c>
      <x:c r="F68" s="84" t="s">
        <x:v>241</x:v>
      </x:c>
      <x:c r="G68" s="84" t="s">
        <x:v>722</x:v>
      </x:c>
      <x:c r="H68" s="88">
        <x:v>46351</x:v>
      </x:c>
      <x:c r="I68" s="89">
        <x:v>26.239999999999998</x:v>
      </x:c>
      <x:c r="J68" s="90">
        <x:v>10500</x:v>
      </x:c>
      <x:c r="K68" s="91">
        <x:f t="shared" si="0"/>
        <x:v>19837440</x:v>
      </x:c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 spans="1:26">
      <x:c r="A69" s="93" t="s">
        <x:v>607</x:v>
      </x:c>
      <x:c r="B69" s="93" t="s">
        <x:v>573</x:v>
      </x:c>
      <x:c r="C69" s="93" t="s">
        <x:v>636</x:v>
      </x:c>
      <x:c r="D69" s="94" t="s">
        <x:v>769</x:v>
      </x:c>
      <x:c r="E69" s="95">
        <x:v>101</x:v>
      </x:c>
      <x:c r="F69" s="93" t="s">
        <x:v>224</x:v>
      </x:c>
      <x:c r="G69" s="93" t="s">
        <x:v>679</x:v>
      </x:c>
      <x:c r="H69" s="96">
        <x:v>46373</x:v>
      </x:c>
      <x:c r="I69" s="97">
        <x:v>37.619999999999997</x:v>
      </x:c>
      <x:c r="J69" s="98">
        <x:v>7900</x:v>
      </x:c>
      <x:c r="K69" s="99">
        <x:f t="shared" si="0"/>
        <x:v>30016998</x:v>
      </x:c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</x:row>
    <x:row r="70" spans="1:26">
      <x:c r="A70" s="84" t="s">
        <x:v>607</x:v>
      </x:c>
      <x:c r="B70" s="84" t="s">
        <x:v>573</x:v>
      </x:c>
      <x:c r="C70" s="84" t="s">
        <x:v>636</x:v>
      </x:c>
      <x:c r="D70" s="86" t="s">
        <x:v>769</x:v>
      </x:c>
      <x:c r="E70" s="87">
        <x:v>85</x:v>
      </x:c>
      <x:c r="F70" s="84" t="s">
        <x:v>239</x:v>
      </x:c>
      <x:c r="G70" s="84" t="s">
        <x:v>679</x:v>
      </x:c>
      <x:c r="H70" s="88">
        <x:v>46414</x:v>
      </x:c>
      <x:c r="I70" s="89">
        <x:v>37.5</x:v>
      </x:c>
      <x:c r="J70" s="90">
        <x:v>7900</x:v>
      </x:c>
      <x:c r="K70" s="91">
        <x:f t="shared" si="0"/>
        <x:v>25181250</x:v>
      </x:c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 spans="1:26">
      <x:c r="A71" s="106"/>
      <x:c r="B71" s="106"/>
      <x:c r="C71" s="106"/>
      <x:c r="D71" s="107"/>
      <x:c r="E71" s="108"/>
      <x:c r="F71" s="106"/>
      <x:c r="G71" s="106"/>
      <x:c r="H71" s="109"/>
      <x:c r="I71" s="11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</x:row>
    <x:row r="72" spans="1:26">
      <x:c r="A72" s="111"/>
      <x:c r="B72" s="111"/>
      <x:c r="C72" s="111"/>
      <x:c r="D72" s="112"/>
      <x:c r="E72" s="113"/>
      <x:c r="F72" s="111"/>
      <x:c r="G72" s="111"/>
      <x:c r="H72" s="114"/>
      <x:c r="I72" s="115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 spans="1:26">
      <x:c r="A73" s="106"/>
      <x:c r="B73" s="106"/>
      <x:c r="C73" s="106"/>
      <x:c r="D73" s="107"/>
      <x:c r="E73" s="108"/>
      <x:c r="F73" s="106"/>
      <x:c r="G73" s="106"/>
      <x:c r="H73" s="109"/>
      <x:c r="I73" s="11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</x:row>
    <x:row r="74" spans="1:26">
      <x:c r="A74" s="111"/>
      <x:c r="B74" s="111"/>
      <x:c r="C74" s="111"/>
      <x:c r="D74" s="112"/>
      <x:c r="E74" s="113"/>
      <x:c r="F74" s="111"/>
      <x:c r="G74" s="111"/>
      <x:c r="H74" s="114"/>
      <x:c r="I74" s="115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 spans="1:26">
      <x:c r="A75" s="106"/>
      <x:c r="B75" s="106"/>
      <x:c r="C75" s="106"/>
      <x:c r="D75" s="107"/>
      <x:c r="E75" s="108"/>
      <x:c r="F75" s="106"/>
      <x:c r="G75" s="106"/>
      <x:c r="H75" s="109"/>
      <x:c r="I75" s="11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</x:row>
    <x:row r="76" spans="1:26">
      <x:c r="A76" s="111"/>
      <x:c r="B76" s="111"/>
      <x:c r="C76" s="111"/>
      <x:c r="D76" s="112"/>
      <x:c r="E76" s="113"/>
      <x:c r="F76" s="111"/>
      <x:c r="G76" s="111"/>
      <x:c r="H76" s="114"/>
      <x:c r="I76" s="115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 spans="1:26">
      <x:c r="A77" s="106"/>
      <x:c r="B77" s="106"/>
      <x:c r="C77" s="106"/>
      <x:c r="D77" s="107"/>
      <x:c r="E77" s="108"/>
      <x:c r="F77" s="106"/>
      <x:c r="G77" s="106"/>
      <x:c r="H77" s="109"/>
      <x:c r="I77" s="11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</x:row>
    <x:row r="78" spans="1:26">
      <x:c r="A78" s="111"/>
      <x:c r="B78" s="111"/>
      <x:c r="C78" s="111"/>
      <x:c r="D78" s="112"/>
      <x:c r="E78" s="113"/>
      <x:c r="F78" s="111"/>
      <x:c r="G78" s="111"/>
      <x:c r="H78" s="114"/>
      <x:c r="I78" s="115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 spans="1:26">
      <x:c r="A79" s="106"/>
      <x:c r="B79" s="106"/>
      <x:c r="C79" s="106"/>
      <x:c r="D79" s="107"/>
      <x:c r="E79" s="108"/>
      <x:c r="F79" s="106"/>
      <x:c r="G79" s="106"/>
      <x:c r="H79" s="109"/>
      <x:c r="I79" s="11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</x:row>
    <x:row r="80" spans="1:26">
      <x:c r="A80" s="111"/>
      <x:c r="B80" s="111"/>
      <x:c r="C80" s="111"/>
      <x:c r="D80" s="112"/>
      <x:c r="E80" s="113"/>
      <x:c r="F80" s="111"/>
      <x:c r="G80" s="111"/>
      <x:c r="H80" s="114"/>
      <x:c r="I80" s="115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 spans="1:26">
      <x:c r="A81" s="106"/>
      <x:c r="B81" s="106"/>
      <x:c r="C81" s="106"/>
      <x:c r="D81" s="107"/>
      <x:c r="E81" s="108"/>
      <x:c r="F81" s="106"/>
      <x:c r="G81" s="106"/>
      <x:c r="H81" s="109"/>
      <x:c r="I81" s="11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</x:row>
    <x:row r="82" spans="1:26">
      <x:c r="A82" s="111"/>
      <x:c r="B82" s="111"/>
      <x:c r="C82" s="111"/>
      <x:c r="D82" s="112"/>
      <x:c r="E82" s="113"/>
      <x:c r="F82" s="111"/>
      <x:c r="G82" s="111"/>
      <x:c r="H82" s="114"/>
      <x:c r="I82" s="115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 spans="1:26">
      <x:c r="A83" s="106"/>
      <x:c r="B83" s="106"/>
      <x:c r="C83" s="106"/>
      <x:c r="D83" s="107"/>
      <x:c r="E83" s="108"/>
      <x:c r="F83" s="106"/>
      <x:c r="G83" s="106"/>
      <x:c r="H83" s="109"/>
      <x:c r="I83" s="11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</x:row>
    <x:row r="84" spans="1:26">
      <x:c r="A84" s="111"/>
      <x:c r="B84" s="111"/>
      <x:c r="C84" s="111"/>
      <x:c r="D84" s="112"/>
      <x:c r="E84" s="113"/>
      <x:c r="F84" s="111"/>
      <x:c r="G84" s="111"/>
      <x:c r="H84" s="114"/>
      <x:c r="I84" s="115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 spans="1:26">
      <x:c r="A85" s="106"/>
      <x:c r="B85" s="106"/>
      <x:c r="C85" s="106"/>
      <x:c r="D85" s="107"/>
      <x:c r="E85" s="108"/>
      <x:c r="F85" s="106"/>
      <x:c r="G85" s="106"/>
      <x:c r="H85" s="109"/>
      <x:c r="I85" s="11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</x:row>
    <x:row r="86" spans="1:26">
      <x:c r="A86" s="111"/>
      <x:c r="B86" s="111"/>
      <x:c r="C86" s="111"/>
      <x:c r="D86" s="112"/>
      <x:c r="E86" s="113"/>
      <x:c r="F86" s="111"/>
      <x:c r="G86" s="111"/>
      <x:c r="H86" s="114"/>
      <x:c r="I86" s="115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 spans="1:26">
      <x:c r="A87" s="106"/>
      <x:c r="B87" s="106"/>
      <x:c r="C87" s="106"/>
      <x:c r="D87" s="107"/>
      <x:c r="E87" s="108"/>
      <x:c r="F87" s="106"/>
      <x:c r="G87" s="106"/>
      <x:c r="H87" s="109"/>
      <x:c r="I87" s="11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</x:row>
    <x:row r="88" spans="1:26">
      <x:c r="A88" s="111"/>
      <x:c r="B88" s="111"/>
      <x:c r="C88" s="111"/>
      <x:c r="D88" s="112"/>
      <x:c r="E88" s="113"/>
      <x:c r="F88" s="111"/>
      <x:c r="G88" s="111"/>
      <x:c r="H88" s="114"/>
      <x:c r="I88" s="115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 spans="1:26">
      <x:c r="A89" s="106"/>
      <x:c r="B89" s="106"/>
      <x:c r="C89" s="106"/>
      <x:c r="D89" s="107"/>
      <x:c r="E89" s="108"/>
      <x:c r="F89" s="106"/>
      <x:c r="G89" s="106"/>
      <x:c r="H89" s="109"/>
      <x:c r="I89" s="11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</x:row>
    <x:row r="90" spans="1:26">
      <x:c r="A90" s="111"/>
      <x:c r="B90" s="111"/>
      <x:c r="C90" s="111"/>
      <x:c r="D90" s="112"/>
      <x:c r="E90" s="113"/>
      <x:c r="F90" s="111"/>
      <x:c r="G90" s="111"/>
      <x:c r="H90" s="114"/>
      <x:c r="I90" s="115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 spans="1:26">
      <x:c r="A91" s="106"/>
      <x:c r="B91" s="106"/>
      <x:c r="C91" s="106"/>
      <x:c r="D91" s="107"/>
      <x:c r="E91" s="108"/>
      <x:c r="F91" s="106"/>
      <x:c r="G91" s="106"/>
      <x:c r="H91" s="109"/>
      <x:c r="I91" s="11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</x:row>
    <x:row r="92" spans="1:26">
      <x:c r="A92" s="111"/>
      <x:c r="B92" s="111"/>
      <x:c r="C92" s="111"/>
      <x:c r="D92" s="112"/>
      <x:c r="E92" s="113"/>
      <x:c r="F92" s="111"/>
      <x:c r="G92" s="111"/>
      <x:c r="H92" s="114"/>
      <x:c r="I92" s="115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 spans="1:26">
      <x:c r="A93" s="106"/>
      <x:c r="B93" s="106"/>
      <x:c r="C93" s="106"/>
      <x:c r="D93" s="107"/>
      <x:c r="E93" s="108"/>
      <x:c r="F93" s="106"/>
      <x:c r="G93" s="106"/>
      <x:c r="H93" s="109"/>
      <x:c r="I93" s="11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</x:row>
    <x:row r="94" spans="1:26">
      <x:c r="A94" s="111"/>
      <x:c r="B94" s="111"/>
      <x:c r="C94" s="111"/>
      <x:c r="D94" s="112"/>
      <x:c r="E94" s="113"/>
      <x:c r="F94" s="111"/>
      <x:c r="G94" s="111"/>
      <x:c r="H94" s="114"/>
      <x:c r="I94" s="115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 spans="1:26">
      <x:c r="A95" s="106"/>
      <x:c r="B95" s="106"/>
      <x:c r="C95" s="106"/>
      <x:c r="D95" s="107"/>
      <x:c r="E95" s="108"/>
      <x:c r="F95" s="106"/>
      <x:c r="G95" s="106"/>
      <x:c r="H95" s="109"/>
      <x:c r="I95" s="11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</x:row>
    <x:row r="96" spans="1:26">
      <x:c r="A96" s="111"/>
      <x:c r="B96" s="111"/>
      <x:c r="C96" s="111"/>
      <x:c r="D96" s="112"/>
      <x:c r="E96" s="113"/>
      <x:c r="F96" s="111"/>
      <x:c r="G96" s="111"/>
      <x:c r="H96" s="114"/>
      <x:c r="I96" s="115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 spans="1:26">
      <x:c r="A97" s="106"/>
      <x:c r="B97" s="106"/>
      <x:c r="C97" s="106"/>
      <x:c r="D97" s="107"/>
      <x:c r="E97" s="108"/>
      <x:c r="F97" s="106"/>
      <x:c r="G97" s="106"/>
      <x:c r="H97" s="109"/>
      <x:c r="I97" s="11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</x:row>
    <x:row r="98" spans="1:26">
      <x:c r="A98" s="111"/>
      <x:c r="B98" s="111"/>
      <x:c r="C98" s="111"/>
      <x:c r="D98" s="112"/>
      <x:c r="E98" s="113"/>
      <x:c r="F98" s="111"/>
      <x:c r="G98" s="111"/>
      <x:c r="H98" s="114"/>
      <x:c r="I98" s="115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 spans="1:26">
      <x:c r="A99" s="106"/>
      <x:c r="B99" s="106"/>
      <x:c r="C99" s="106"/>
      <x:c r="D99" s="107"/>
      <x:c r="E99" s="108"/>
      <x:c r="F99" s="106"/>
      <x:c r="G99" s="106"/>
      <x:c r="H99" s="109"/>
      <x:c r="I99" s="11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</x:row>
    <x:row r="100" spans="1:26">
      <x:c r="A100" s="111"/>
      <x:c r="B100" s="111"/>
      <x:c r="C100" s="111"/>
      <x:c r="D100" s="112"/>
      <x:c r="E100" s="113"/>
      <x:c r="F100" s="111"/>
      <x:c r="G100" s="111"/>
      <x:c r="H100" s="114"/>
      <x:c r="I100" s="115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 spans="1:26">
      <x:c r="A101" s="106"/>
      <x:c r="B101" s="106"/>
      <x:c r="C101" s="106"/>
      <x:c r="D101" s="107"/>
      <x:c r="E101" s="108"/>
      <x:c r="F101" s="106"/>
      <x:c r="G101" s="106"/>
      <x:c r="H101" s="109"/>
      <x:c r="I101" s="11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</x:row>
    <x:row r="102" spans="1:26">
      <x:c r="A102" s="111"/>
      <x:c r="B102" s="111"/>
      <x:c r="C102" s="111"/>
      <x:c r="D102" s="112"/>
      <x:c r="E102" s="113"/>
      <x:c r="F102" s="111"/>
      <x:c r="G102" s="111"/>
      <x:c r="H102" s="114"/>
      <x:c r="I102" s="115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 spans="1:26">
      <x:c r="A103" s="106"/>
      <x:c r="B103" s="106"/>
      <x:c r="C103" s="106"/>
      <x:c r="D103" s="107"/>
      <x:c r="E103" s="108"/>
      <x:c r="F103" s="106"/>
      <x:c r="G103" s="106"/>
      <x:c r="H103" s="109"/>
      <x:c r="I103" s="11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</x:row>
    <x:row r="104" spans="1:26">
      <x:c r="A104" s="111"/>
      <x:c r="B104" s="111"/>
      <x:c r="C104" s="111"/>
      <x:c r="D104" s="112"/>
      <x:c r="E104" s="113"/>
      <x:c r="F104" s="111"/>
      <x:c r="G104" s="111"/>
      <x:c r="H104" s="114"/>
      <x:c r="I104" s="115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 spans="1:26">
      <x:c r="A105" s="106"/>
      <x:c r="B105" s="106"/>
      <x:c r="C105" s="106"/>
      <x:c r="D105" s="107"/>
      <x:c r="E105" s="108"/>
      <x:c r="F105" s="106"/>
      <x:c r="G105" s="106"/>
      <x:c r="H105" s="109"/>
      <x:c r="I105" s="11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</x:row>
    <x:row r="106" spans="1:26">
      <x:c r="A106" s="111"/>
      <x:c r="B106" s="111"/>
      <x:c r="C106" s="111"/>
      <x:c r="D106" s="112"/>
      <x:c r="E106" s="113"/>
      <x:c r="F106" s="111"/>
      <x:c r="G106" s="111"/>
      <x:c r="H106" s="114"/>
      <x:c r="I106" s="115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 spans="1:26">
      <x:c r="A107" s="106"/>
      <x:c r="B107" s="106"/>
      <x:c r="C107" s="106"/>
      <x:c r="D107" s="107"/>
      <x:c r="E107" s="108"/>
      <x:c r="F107" s="106"/>
      <x:c r="G107" s="106"/>
      <x:c r="H107" s="109"/>
      <x:c r="I107" s="11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</x:row>
    <x:row r="108" spans="1:26">
      <x:c r="A108" s="111"/>
      <x:c r="B108" s="111"/>
      <x:c r="C108" s="111"/>
      <x:c r="D108" s="112"/>
      <x:c r="E108" s="113"/>
      <x:c r="F108" s="111"/>
      <x:c r="G108" s="111"/>
      <x:c r="H108" s="114"/>
      <x:c r="I108" s="115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 spans="1:26">
      <x:c r="A109" s="106"/>
      <x:c r="B109" s="106"/>
      <x:c r="C109" s="106"/>
      <x:c r="D109" s="107"/>
      <x:c r="E109" s="108"/>
      <x:c r="F109" s="106"/>
      <x:c r="G109" s="106"/>
      <x:c r="H109" s="109"/>
      <x:c r="I109" s="11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</x:row>
    <x:row r="110" spans="1:26">
      <x:c r="A110" s="111"/>
      <x:c r="B110" s="111"/>
      <x:c r="C110" s="111"/>
      <x:c r="D110" s="112"/>
      <x:c r="E110" s="113"/>
      <x:c r="F110" s="111"/>
      <x:c r="G110" s="111"/>
      <x:c r="H110" s="114"/>
      <x:c r="I110" s="115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 spans="1:26">
      <x:c r="A111" s="106"/>
      <x:c r="B111" s="106"/>
      <x:c r="C111" s="106"/>
      <x:c r="D111" s="107"/>
      <x:c r="E111" s="108"/>
      <x:c r="F111" s="106"/>
      <x:c r="G111" s="106"/>
      <x:c r="H111" s="109"/>
      <x:c r="I111" s="11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</x:row>
    <x:row r="112" spans="1:26">
      <x:c r="A112" s="111"/>
      <x:c r="B112" s="111"/>
      <x:c r="C112" s="111"/>
      <x:c r="D112" s="112"/>
      <x:c r="E112" s="113"/>
      <x:c r="F112" s="111"/>
      <x:c r="G112" s="111"/>
      <x:c r="H112" s="114"/>
      <x:c r="I112" s="115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 spans="1:26">
      <x:c r="A113" s="106"/>
      <x:c r="B113" s="106"/>
      <x:c r="C113" s="106"/>
      <x:c r="D113" s="107"/>
      <x:c r="E113" s="108"/>
      <x:c r="F113" s="106"/>
      <x:c r="G113" s="106"/>
      <x:c r="H113" s="109"/>
      <x:c r="I113" s="11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</x:row>
    <x:row r="114" spans="1:26">
      <x:c r="A114" s="111"/>
      <x:c r="B114" s="111"/>
      <x:c r="C114" s="111"/>
      <x:c r="D114" s="112"/>
      <x:c r="E114" s="113"/>
      <x:c r="F114" s="111"/>
      <x:c r="G114" s="111"/>
      <x:c r="H114" s="114"/>
      <x:c r="I114" s="115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 spans="1:26">
      <x:c r="A115" s="106"/>
      <x:c r="B115" s="106"/>
      <x:c r="C115" s="106"/>
      <x:c r="D115" s="107"/>
      <x:c r="E115" s="108"/>
      <x:c r="F115" s="106"/>
      <x:c r="G115" s="106"/>
      <x:c r="H115" s="109"/>
      <x:c r="I115" s="11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</x:row>
    <x:row r="116" spans="1:26">
      <x:c r="A116" s="111"/>
      <x:c r="B116" s="111"/>
      <x:c r="C116" s="111"/>
      <x:c r="D116" s="112"/>
      <x:c r="E116" s="113"/>
      <x:c r="F116" s="111"/>
      <x:c r="G116" s="111"/>
      <x:c r="H116" s="114"/>
      <x:c r="I116" s="115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 spans="1:26">
      <x:c r="A117" s="106"/>
      <x:c r="B117" s="106"/>
      <x:c r="C117" s="106"/>
      <x:c r="D117" s="107"/>
      <x:c r="E117" s="108"/>
      <x:c r="F117" s="106"/>
      <x:c r="G117" s="106"/>
      <x:c r="H117" s="109"/>
      <x:c r="I117" s="11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</x:row>
    <x:row r="118" spans="1:26">
      <x:c r="A118" s="111"/>
      <x:c r="B118" s="111"/>
      <x:c r="C118" s="111"/>
      <x:c r="D118" s="112"/>
      <x:c r="E118" s="113"/>
      <x:c r="F118" s="111"/>
      <x:c r="G118" s="111"/>
      <x:c r="H118" s="114"/>
      <x:c r="I118" s="115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 spans="1:26">
      <x:c r="A119" s="106"/>
      <x:c r="B119" s="106"/>
      <x:c r="C119" s="106"/>
      <x:c r="D119" s="107"/>
      <x:c r="E119" s="108"/>
      <x:c r="F119" s="106"/>
      <x:c r="G119" s="106"/>
      <x:c r="H119" s="109"/>
      <x:c r="I119" s="11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</x:row>
    <x:row r="120" spans="1:26">
      <x:c r="A120" s="111"/>
      <x:c r="B120" s="111"/>
      <x:c r="C120" s="111"/>
      <x:c r="D120" s="112"/>
      <x:c r="E120" s="113"/>
      <x:c r="F120" s="111"/>
      <x:c r="G120" s="111"/>
      <x:c r="H120" s="114"/>
      <x:c r="I120" s="115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 spans="1:26">
      <x:c r="A121" s="106"/>
      <x:c r="B121" s="106"/>
      <x:c r="C121" s="106"/>
      <x:c r="D121" s="107"/>
      <x:c r="E121" s="108"/>
      <x:c r="F121" s="106"/>
      <x:c r="G121" s="106"/>
      <x:c r="H121" s="109"/>
      <x:c r="I121" s="11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</x:row>
    <x:row r="122" spans="1:26">
      <x:c r="A122" s="111"/>
      <x:c r="B122" s="111"/>
      <x:c r="C122" s="111"/>
      <x:c r="D122" s="112"/>
      <x:c r="E122" s="113"/>
      <x:c r="F122" s="111"/>
      <x:c r="G122" s="111"/>
      <x:c r="H122" s="114"/>
      <x:c r="I122" s="115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 spans="1:26">
      <x:c r="A123" s="106"/>
      <x:c r="B123" s="106"/>
      <x:c r="C123" s="106"/>
      <x:c r="D123" s="107"/>
      <x:c r="E123" s="108"/>
      <x:c r="F123" s="106"/>
      <x:c r="G123" s="106"/>
      <x:c r="H123" s="109"/>
      <x:c r="I123" s="11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</x:row>
    <x:row r="124" spans="1:26">
      <x:c r="A124" s="111"/>
      <x:c r="B124" s="111"/>
      <x:c r="C124" s="111"/>
      <x:c r="D124" s="112"/>
      <x:c r="E124" s="113"/>
      <x:c r="F124" s="111"/>
      <x:c r="G124" s="111"/>
      <x:c r="H124" s="114"/>
      <x:c r="I124" s="115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 spans="1:26">
      <x:c r="A125" s="106"/>
      <x:c r="B125" s="106"/>
      <x:c r="C125" s="106"/>
      <x:c r="D125" s="107"/>
      <x:c r="E125" s="108"/>
      <x:c r="F125" s="106"/>
      <x:c r="G125" s="106"/>
      <x:c r="H125" s="109"/>
      <x:c r="I125" s="11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</x:row>
    <x:row r="126" spans="1:26">
      <x:c r="A126" s="111"/>
      <x:c r="B126" s="111"/>
      <x:c r="C126" s="111"/>
      <x:c r="D126" s="112"/>
      <x:c r="E126" s="113"/>
      <x:c r="F126" s="111"/>
      <x:c r="G126" s="111"/>
      <x:c r="H126" s="114"/>
      <x:c r="I126" s="115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 spans="1:26">
      <x:c r="A127" s="106"/>
      <x:c r="B127" s="106"/>
      <x:c r="C127" s="106"/>
      <x:c r="D127" s="107"/>
      <x:c r="E127" s="108"/>
      <x:c r="F127" s="106"/>
      <x:c r="G127" s="106"/>
      <x:c r="H127" s="109"/>
      <x:c r="I127" s="11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</x:row>
    <x:row r="128" spans="1:26">
      <x:c r="A128" s="111"/>
      <x:c r="B128" s="111"/>
      <x:c r="C128" s="111"/>
      <x:c r="D128" s="112"/>
      <x:c r="E128" s="113"/>
      <x:c r="F128" s="111"/>
      <x:c r="G128" s="111"/>
      <x:c r="H128" s="114"/>
      <x:c r="I128" s="115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 spans="1:26">
      <x:c r="A129" s="106"/>
      <x:c r="B129" s="106"/>
      <x:c r="C129" s="106"/>
      <x:c r="D129" s="107"/>
      <x:c r="E129" s="108"/>
      <x:c r="F129" s="106"/>
      <x:c r="G129" s="106"/>
      <x:c r="H129" s="109"/>
      <x:c r="I129" s="11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</x:row>
    <x:row r="130" spans="1:26">
      <x:c r="A130" s="111"/>
      <x:c r="B130" s="111"/>
      <x:c r="C130" s="111"/>
      <x:c r="D130" s="112"/>
      <x:c r="E130" s="113"/>
      <x:c r="F130" s="111"/>
      <x:c r="G130" s="111"/>
      <x:c r="H130" s="114"/>
      <x:c r="I130" s="115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 spans="1:26">
      <x:c r="A131" s="106"/>
      <x:c r="B131" s="106"/>
      <x:c r="C131" s="106"/>
      <x:c r="D131" s="107"/>
      <x:c r="E131" s="108"/>
      <x:c r="F131" s="106"/>
      <x:c r="G131" s="106"/>
      <x:c r="H131" s="109"/>
      <x:c r="I131" s="11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</x:row>
    <x:row r="132" spans="1:26">
      <x:c r="A132" s="111"/>
      <x:c r="B132" s="111"/>
      <x:c r="C132" s="111"/>
      <x:c r="D132" s="112"/>
      <x:c r="E132" s="113"/>
      <x:c r="F132" s="111"/>
      <x:c r="G132" s="111"/>
      <x:c r="H132" s="114"/>
      <x:c r="I132" s="115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 spans="1:26">
      <x:c r="A133" s="106"/>
      <x:c r="B133" s="106"/>
      <x:c r="C133" s="106"/>
      <x:c r="D133" s="107"/>
      <x:c r="E133" s="108"/>
      <x:c r="F133" s="106"/>
      <x:c r="G133" s="106"/>
      <x:c r="H133" s="109"/>
      <x:c r="I133" s="11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</x:row>
    <x:row r="134" spans="1:26">
      <x:c r="A134" s="111"/>
      <x:c r="B134" s="111"/>
      <x:c r="C134" s="111"/>
      <x:c r="D134" s="112"/>
      <x:c r="E134" s="113"/>
      <x:c r="F134" s="111"/>
      <x:c r="G134" s="111"/>
      <x:c r="H134" s="114"/>
      <x:c r="I134" s="115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 spans="1:26">
      <x:c r="A135" s="106"/>
      <x:c r="B135" s="106"/>
      <x:c r="C135" s="106"/>
      <x:c r="D135" s="107"/>
      <x:c r="E135" s="108"/>
      <x:c r="F135" s="106"/>
      <x:c r="G135" s="106"/>
      <x:c r="H135" s="109"/>
      <x:c r="I135" s="11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</x:row>
    <x:row r="136" spans="1:26">
      <x:c r="A136" s="111"/>
      <x:c r="B136" s="111"/>
      <x:c r="C136" s="111"/>
      <x:c r="D136" s="112"/>
      <x:c r="E136" s="113"/>
      <x:c r="F136" s="111"/>
      <x:c r="G136" s="111"/>
      <x:c r="H136" s="114"/>
      <x:c r="I136" s="115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 spans="1:26">
      <x:c r="A137" s="106"/>
      <x:c r="B137" s="106"/>
      <x:c r="C137" s="106"/>
      <x:c r="D137" s="107"/>
      <x:c r="E137" s="108"/>
      <x:c r="F137" s="106"/>
      <x:c r="G137" s="106"/>
      <x:c r="H137" s="109"/>
      <x:c r="I137" s="11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</x:row>
    <x:row r="138" spans="1:26">
      <x:c r="A138" s="111"/>
      <x:c r="B138" s="111"/>
      <x:c r="C138" s="111"/>
      <x:c r="D138" s="112"/>
      <x:c r="E138" s="113"/>
      <x:c r="F138" s="111"/>
      <x:c r="G138" s="111"/>
      <x:c r="H138" s="114"/>
      <x:c r="I138" s="115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 spans="1:26">
      <x:c r="A139" s="106"/>
      <x:c r="B139" s="106"/>
      <x:c r="C139" s="106"/>
      <x:c r="D139" s="107"/>
      <x:c r="E139" s="108"/>
      <x:c r="F139" s="106"/>
      <x:c r="G139" s="106"/>
      <x:c r="H139" s="109"/>
      <x:c r="I139" s="11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</x:row>
    <x:row r="140" spans="1:26">
      <x:c r="A140" s="111"/>
      <x:c r="B140" s="111"/>
      <x:c r="C140" s="111"/>
      <x:c r="D140" s="112"/>
      <x:c r="E140" s="113"/>
      <x:c r="F140" s="111"/>
      <x:c r="G140" s="111"/>
      <x:c r="H140" s="114"/>
      <x:c r="I140" s="115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 spans="1:26">
      <x:c r="A141" s="106"/>
      <x:c r="B141" s="106"/>
      <x:c r="C141" s="106"/>
      <x:c r="D141" s="107"/>
      <x:c r="E141" s="108"/>
      <x:c r="F141" s="106"/>
      <x:c r="G141" s="106"/>
      <x:c r="H141" s="109"/>
      <x:c r="I141" s="11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</x:row>
    <x:row r="142" spans="1:26">
      <x:c r="A142" s="111"/>
      <x:c r="B142" s="111"/>
      <x:c r="C142" s="111"/>
      <x:c r="D142" s="112"/>
      <x:c r="E142" s="113"/>
      <x:c r="F142" s="111"/>
      <x:c r="G142" s="111"/>
      <x:c r="H142" s="114"/>
      <x:c r="I142" s="115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 spans="1:26">
      <x:c r="A143" s="106"/>
      <x:c r="B143" s="106"/>
      <x:c r="C143" s="106"/>
      <x:c r="D143" s="107"/>
      <x:c r="E143" s="108"/>
      <x:c r="F143" s="106"/>
      <x:c r="G143" s="106"/>
      <x:c r="H143" s="109"/>
      <x:c r="I143" s="11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</x:row>
    <x:row r="144" spans="1:26">
      <x:c r="A144" s="111"/>
      <x:c r="B144" s="111"/>
      <x:c r="C144" s="111"/>
      <x:c r="D144" s="112"/>
      <x:c r="E144" s="113"/>
      <x:c r="F144" s="111"/>
      <x:c r="G144" s="111"/>
      <x:c r="H144" s="114"/>
      <x:c r="I144" s="115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 spans="1:26">
      <x:c r="A145" s="106"/>
      <x:c r="B145" s="106"/>
      <x:c r="C145" s="106"/>
      <x:c r="D145" s="107"/>
      <x:c r="E145" s="108"/>
      <x:c r="F145" s="106"/>
      <x:c r="G145" s="106"/>
      <x:c r="H145" s="109"/>
      <x:c r="I145" s="11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</x:row>
    <x:row r="146" spans="1:26">
      <x:c r="A146" s="111"/>
      <x:c r="B146" s="111"/>
      <x:c r="C146" s="111"/>
      <x:c r="D146" s="112"/>
      <x:c r="E146" s="113"/>
      <x:c r="F146" s="111"/>
      <x:c r="G146" s="111"/>
      <x:c r="H146" s="114"/>
      <x:c r="I146" s="115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 spans="1:26">
      <x:c r="A147" s="106"/>
      <x:c r="B147" s="106"/>
      <x:c r="C147" s="106"/>
      <x:c r="D147" s="107"/>
      <x:c r="E147" s="108"/>
      <x:c r="F147" s="106"/>
      <x:c r="G147" s="106"/>
      <x:c r="H147" s="109"/>
      <x:c r="I147" s="11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</x:row>
    <x:row r="148" spans="1:26">
      <x:c r="A148" s="111"/>
      <x:c r="B148" s="111"/>
      <x:c r="C148" s="111"/>
      <x:c r="D148" s="112"/>
      <x:c r="E148" s="113"/>
      <x:c r="F148" s="111"/>
      <x:c r="G148" s="111"/>
      <x:c r="H148" s="114"/>
      <x:c r="I148" s="115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 spans="1:26">
      <x:c r="A149" s="106"/>
      <x:c r="B149" s="106"/>
      <x:c r="C149" s="106"/>
      <x:c r="D149" s="107"/>
      <x:c r="E149" s="108"/>
      <x:c r="F149" s="106"/>
      <x:c r="G149" s="106"/>
      <x:c r="H149" s="109"/>
      <x:c r="I149" s="11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</x:row>
    <x:row r="150" spans="1:26">
      <x:c r="A150" s="111"/>
      <x:c r="B150" s="111"/>
      <x:c r="C150" s="111"/>
      <x:c r="D150" s="112"/>
      <x:c r="E150" s="113"/>
      <x:c r="F150" s="111"/>
      <x:c r="G150" s="111"/>
      <x:c r="H150" s="114"/>
      <x:c r="I150" s="115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 spans="1:26">
      <x:c r="A151" s="106"/>
      <x:c r="B151" s="106"/>
      <x:c r="C151" s="106"/>
      <x:c r="D151" s="107"/>
      <x:c r="E151" s="108"/>
      <x:c r="F151" s="106"/>
      <x:c r="G151" s="106"/>
      <x:c r="H151" s="109"/>
      <x:c r="I151" s="11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</x:row>
    <x:row r="152" spans="1:26">
      <x:c r="A152" s="111"/>
      <x:c r="B152" s="111"/>
      <x:c r="C152" s="111"/>
      <x:c r="D152" s="112"/>
      <x:c r="E152" s="113"/>
      <x:c r="F152" s="111"/>
      <x:c r="G152" s="111"/>
      <x:c r="H152" s="114"/>
      <x:c r="I152" s="115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 spans="1:26">
      <x:c r="A153" s="106"/>
      <x:c r="B153" s="106"/>
      <x:c r="C153" s="106"/>
      <x:c r="D153" s="107"/>
      <x:c r="E153" s="108"/>
      <x:c r="F153" s="106"/>
      <x:c r="G153" s="106"/>
      <x:c r="H153" s="109"/>
      <x:c r="I153" s="11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</x:row>
    <x:row r="154" spans="1:26">
      <x:c r="A154" s="111"/>
      <x:c r="B154" s="111"/>
      <x:c r="C154" s="111"/>
      <x:c r="D154" s="112"/>
      <x:c r="E154" s="113"/>
      <x:c r="F154" s="111"/>
      <x:c r="G154" s="111"/>
      <x:c r="H154" s="114"/>
      <x:c r="I154" s="115"/>
      <x:c r="J154" s="92"/>
      <x:c r="K154" s="92"/>
      <x:c r="L154" s="92"/>
      <x:c r="M154" s="92"/>
      <x:c r="N154" s="92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 spans="1:26">
      <x:c r="A155" s="106"/>
      <x:c r="B155" s="106"/>
      <x:c r="C155" s="106"/>
      <x:c r="D155" s="107"/>
      <x:c r="E155" s="108"/>
      <x:c r="F155" s="106"/>
      <x:c r="G155" s="106"/>
      <x:c r="H155" s="109"/>
      <x:c r="I155" s="11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</x:row>
    <x:row r="156" spans="1:26">
      <x:c r="A156" s="111"/>
      <x:c r="B156" s="111"/>
      <x:c r="C156" s="111"/>
      <x:c r="D156" s="112"/>
      <x:c r="E156" s="113"/>
      <x:c r="F156" s="111"/>
      <x:c r="G156" s="111"/>
      <x:c r="H156" s="114"/>
      <x:c r="I156" s="115"/>
      <x:c r="J156" s="92"/>
      <x:c r="K156" s="92"/>
      <x:c r="L156" s="92"/>
      <x:c r="M156" s="92"/>
      <x:c r="N156" s="92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 spans="1:26">
      <x:c r="A157" s="106"/>
      <x:c r="B157" s="106"/>
      <x:c r="C157" s="106"/>
      <x:c r="D157" s="107"/>
      <x:c r="E157" s="108"/>
      <x:c r="F157" s="106"/>
      <x:c r="G157" s="106"/>
      <x:c r="H157" s="109"/>
      <x:c r="I157" s="11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</x:row>
    <x:row r="158" spans="1:26">
      <x:c r="A158" s="111"/>
      <x:c r="B158" s="111"/>
      <x:c r="C158" s="111"/>
      <x:c r="D158" s="112"/>
      <x:c r="E158" s="113"/>
      <x:c r="F158" s="111"/>
      <x:c r="G158" s="111"/>
      <x:c r="H158" s="114"/>
      <x:c r="I158" s="115"/>
      <x:c r="J158" s="92"/>
      <x:c r="K158" s="92"/>
      <x:c r="L158" s="92"/>
      <x:c r="M158" s="92"/>
      <x:c r="N158" s="92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 spans="1:26">
      <x:c r="A159" s="106"/>
      <x:c r="B159" s="106"/>
      <x:c r="C159" s="106"/>
      <x:c r="D159" s="107"/>
      <x:c r="E159" s="108"/>
      <x:c r="F159" s="106"/>
      <x:c r="G159" s="106"/>
      <x:c r="H159" s="109"/>
      <x:c r="I159" s="11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</x:row>
    <x:row r="160" spans="1:26">
      <x:c r="A160" s="111"/>
      <x:c r="B160" s="111"/>
      <x:c r="C160" s="111"/>
      <x:c r="D160" s="112"/>
      <x:c r="E160" s="113"/>
      <x:c r="F160" s="111"/>
      <x:c r="G160" s="111"/>
      <x:c r="H160" s="114"/>
      <x:c r="I160" s="115"/>
      <x:c r="J160" s="92"/>
      <x:c r="K160" s="92"/>
      <x:c r="L160" s="92"/>
      <x:c r="M160" s="92"/>
      <x:c r="N160" s="92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 spans="1:26">
      <x:c r="A161" s="106"/>
      <x:c r="B161" s="106"/>
      <x:c r="C161" s="106"/>
      <x:c r="D161" s="107"/>
      <x:c r="E161" s="108"/>
      <x:c r="F161" s="106"/>
      <x:c r="G161" s="106"/>
      <x:c r="H161" s="109"/>
      <x:c r="I161" s="11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</x:row>
    <x:row r="162" spans="1:26">
      <x:c r="A162" s="111"/>
      <x:c r="B162" s="111"/>
      <x:c r="C162" s="111"/>
      <x:c r="D162" s="112"/>
      <x:c r="E162" s="113"/>
      <x:c r="F162" s="111"/>
      <x:c r="G162" s="111"/>
      <x:c r="H162" s="114"/>
      <x:c r="I162" s="115"/>
      <x:c r="J162" s="92"/>
      <x:c r="K162" s="92"/>
      <x:c r="L162" s="92"/>
      <x:c r="M162" s="92"/>
      <x:c r="N162" s="92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 spans="1:26">
      <x:c r="A163" s="106"/>
      <x:c r="B163" s="106"/>
      <x:c r="C163" s="106"/>
      <x:c r="D163" s="107"/>
      <x:c r="E163" s="108"/>
      <x:c r="F163" s="106"/>
      <x:c r="G163" s="106"/>
      <x:c r="H163" s="109"/>
      <x:c r="I163" s="11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</x:row>
    <x:row r="164" spans="1:26">
      <x:c r="A164" s="111"/>
      <x:c r="B164" s="111"/>
      <x:c r="C164" s="111"/>
      <x:c r="D164" s="112"/>
      <x:c r="E164" s="113"/>
      <x:c r="F164" s="111"/>
      <x:c r="G164" s="111"/>
      <x:c r="H164" s="114"/>
      <x:c r="I164" s="115"/>
      <x:c r="J164" s="92"/>
      <x:c r="K164" s="92"/>
      <x:c r="L164" s="92"/>
      <x:c r="M164" s="92"/>
      <x:c r="N164" s="92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 spans="1:26">
      <x:c r="A165" s="106"/>
      <x:c r="B165" s="106"/>
      <x:c r="C165" s="106"/>
      <x:c r="D165" s="107"/>
      <x:c r="E165" s="108"/>
      <x:c r="F165" s="106"/>
      <x:c r="G165" s="106"/>
      <x:c r="H165" s="109"/>
      <x:c r="I165" s="11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</x:row>
    <x:row r="166" spans="1:26">
      <x:c r="A166" s="111"/>
      <x:c r="B166" s="111"/>
      <x:c r="C166" s="111"/>
      <x:c r="D166" s="112"/>
      <x:c r="E166" s="113"/>
      <x:c r="F166" s="111"/>
      <x:c r="G166" s="111"/>
      <x:c r="H166" s="114"/>
      <x:c r="I166" s="115"/>
      <x:c r="J166" s="92"/>
      <x:c r="K166" s="92"/>
      <x:c r="L166" s="92"/>
      <x:c r="M166" s="92"/>
      <x:c r="N166" s="92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 spans="1:26">
      <x:c r="A167" s="106"/>
      <x:c r="B167" s="106"/>
      <x:c r="C167" s="106"/>
      <x:c r="D167" s="107"/>
      <x:c r="E167" s="108"/>
      <x:c r="F167" s="106"/>
      <x:c r="G167" s="106"/>
      <x:c r="H167" s="109"/>
      <x:c r="I167" s="11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</x:row>
    <x:row r="168" spans="1:26">
      <x:c r="A168" s="111"/>
      <x:c r="B168" s="111"/>
      <x:c r="C168" s="111"/>
      <x:c r="D168" s="112"/>
      <x:c r="E168" s="113"/>
      <x:c r="F168" s="111"/>
      <x:c r="G168" s="111"/>
      <x:c r="H168" s="114"/>
      <x:c r="I168" s="115"/>
      <x:c r="J168" s="92"/>
      <x:c r="K168" s="92"/>
      <x:c r="L168" s="92"/>
      <x:c r="M168" s="92"/>
      <x:c r="N168" s="92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 spans="1:26">
      <x:c r="A169" s="106"/>
      <x:c r="B169" s="106"/>
      <x:c r="C169" s="106"/>
      <x:c r="D169" s="107"/>
      <x:c r="E169" s="108"/>
      <x:c r="F169" s="106"/>
      <x:c r="G169" s="106"/>
      <x:c r="H169" s="109"/>
      <x:c r="I169" s="11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</x:row>
    <x:row r="170" spans="1:26">
      <x:c r="A170" s="111"/>
      <x:c r="B170" s="111"/>
      <x:c r="C170" s="111"/>
      <x:c r="D170" s="112"/>
      <x:c r="E170" s="113"/>
      <x:c r="F170" s="111"/>
      <x:c r="G170" s="111"/>
      <x:c r="H170" s="114"/>
      <x:c r="I170" s="115"/>
      <x:c r="J170" s="92"/>
      <x:c r="K170" s="92"/>
      <x:c r="L170" s="92"/>
      <x:c r="M170" s="92"/>
      <x:c r="N170" s="92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 spans="1:26">
      <x:c r="A171" s="106"/>
      <x:c r="B171" s="106"/>
      <x:c r="C171" s="106"/>
      <x:c r="D171" s="107"/>
      <x:c r="E171" s="108"/>
      <x:c r="F171" s="106"/>
      <x:c r="G171" s="106"/>
      <x:c r="H171" s="109"/>
      <x:c r="I171" s="11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</x:row>
    <x:row r="172" spans="1:26">
      <x:c r="A172" s="111"/>
      <x:c r="B172" s="111"/>
      <x:c r="C172" s="111"/>
      <x:c r="D172" s="112"/>
      <x:c r="E172" s="113"/>
      <x:c r="F172" s="111"/>
      <x:c r="G172" s="111"/>
      <x:c r="H172" s="114"/>
      <x:c r="I172" s="115"/>
      <x:c r="J172" s="92"/>
      <x:c r="K172" s="92"/>
      <x:c r="L172" s="92"/>
      <x:c r="M172" s="92"/>
      <x:c r="N172" s="92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 spans="1:26">
      <x:c r="A173" s="106"/>
      <x:c r="B173" s="106"/>
      <x:c r="C173" s="106"/>
      <x:c r="D173" s="107"/>
      <x:c r="E173" s="108"/>
      <x:c r="F173" s="106"/>
      <x:c r="G173" s="106"/>
      <x:c r="H173" s="109"/>
      <x:c r="I173" s="11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</x:row>
    <x:row r="174" spans="1:26">
      <x:c r="A174" s="111"/>
      <x:c r="B174" s="111"/>
      <x:c r="C174" s="111"/>
      <x:c r="D174" s="112"/>
      <x:c r="E174" s="113"/>
      <x:c r="F174" s="111"/>
      <x:c r="G174" s="111"/>
      <x:c r="H174" s="114"/>
      <x:c r="I174" s="115"/>
      <x:c r="J174" s="92"/>
      <x:c r="K174" s="92"/>
      <x:c r="L174" s="92"/>
      <x:c r="M174" s="92"/>
      <x:c r="N174" s="92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 spans="1:26">
      <x:c r="A175" s="106"/>
      <x:c r="B175" s="106"/>
      <x:c r="C175" s="106"/>
      <x:c r="D175" s="107"/>
      <x:c r="E175" s="108"/>
      <x:c r="F175" s="106"/>
      <x:c r="G175" s="106"/>
      <x:c r="H175" s="109"/>
      <x:c r="I175" s="11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</x:row>
    <x:row r="176" spans="1:26">
      <x:c r="A176" s="111"/>
      <x:c r="B176" s="111"/>
      <x:c r="C176" s="111"/>
      <x:c r="D176" s="112"/>
      <x:c r="E176" s="113"/>
      <x:c r="F176" s="111"/>
      <x:c r="G176" s="111"/>
      <x:c r="H176" s="114"/>
      <x:c r="I176" s="115"/>
      <x:c r="J176" s="92"/>
      <x:c r="K176" s="92"/>
      <x:c r="L176" s="92"/>
      <x:c r="M176" s="92"/>
      <x:c r="N176" s="92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 spans="1:26">
      <x:c r="A177" s="106"/>
      <x:c r="B177" s="106"/>
      <x:c r="C177" s="106"/>
      <x:c r="D177" s="107"/>
      <x:c r="E177" s="108"/>
      <x:c r="F177" s="106"/>
      <x:c r="G177" s="106"/>
      <x:c r="H177" s="109"/>
      <x:c r="I177" s="11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</x:row>
    <x:row r="178" spans="1:26">
      <x:c r="A178" s="111"/>
      <x:c r="B178" s="111"/>
      <x:c r="C178" s="111"/>
      <x:c r="D178" s="112"/>
      <x:c r="E178" s="113"/>
      <x:c r="F178" s="111"/>
      <x:c r="G178" s="111"/>
      <x:c r="H178" s="114"/>
      <x:c r="I178" s="115"/>
      <x:c r="J178" s="92"/>
      <x:c r="K178" s="92"/>
      <x:c r="L178" s="92"/>
      <x:c r="M178" s="92"/>
      <x:c r="N178" s="92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 spans="1:26">
      <x:c r="A179" s="106"/>
      <x:c r="B179" s="106"/>
      <x:c r="C179" s="106"/>
      <x:c r="D179" s="107"/>
      <x:c r="E179" s="108"/>
      <x:c r="F179" s="106"/>
      <x:c r="G179" s="106"/>
      <x:c r="H179" s="109"/>
      <x:c r="I179" s="11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</x:row>
    <x:row r="180" spans="1:26">
      <x:c r="A180" s="111"/>
      <x:c r="B180" s="111"/>
      <x:c r="C180" s="111"/>
      <x:c r="D180" s="112"/>
      <x:c r="E180" s="113"/>
      <x:c r="F180" s="111"/>
      <x:c r="G180" s="111"/>
      <x:c r="H180" s="114"/>
      <x:c r="I180" s="115"/>
      <x:c r="J180" s="92"/>
      <x:c r="K180" s="92"/>
      <x:c r="L180" s="92"/>
      <x:c r="M180" s="92"/>
      <x:c r="N180" s="92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 spans="1:26">
      <x:c r="A181" s="106"/>
      <x:c r="B181" s="106"/>
      <x:c r="C181" s="106"/>
      <x:c r="D181" s="107"/>
      <x:c r="E181" s="108"/>
      <x:c r="F181" s="106"/>
      <x:c r="G181" s="106"/>
      <x:c r="H181" s="109"/>
      <x:c r="I181" s="11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</x:row>
    <x:row r="182" spans="1:26">
      <x:c r="A182" s="111"/>
      <x:c r="B182" s="111"/>
      <x:c r="C182" s="111"/>
      <x:c r="D182" s="112"/>
      <x:c r="E182" s="113"/>
      <x:c r="F182" s="111"/>
      <x:c r="G182" s="111"/>
      <x:c r="H182" s="114"/>
      <x:c r="I182" s="115"/>
      <x:c r="J182" s="92"/>
      <x:c r="K182" s="92"/>
      <x:c r="L182" s="92"/>
      <x:c r="M182" s="92"/>
      <x:c r="N182" s="92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 spans="1:26">
      <x:c r="A183" s="106"/>
      <x:c r="B183" s="106"/>
      <x:c r="C183" s="106"/>
      <x:c r="D183" s="107"/>
      <x:c r="E183" s="108"/>
      <x:c r="F183" s="106"/>
      <x:c r="G183" s="106"/>
      <x:c r="H183" s="109"/>
      <x:c r="I183" s="11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</x:row>
    <x:row r="184" spans="1:26">
      <x:c r="A184" s="111"/>
      <x:c r="B184" s="111"/>
      <x:c r="C184" s="111"/>
      <x:c r="D184" s="112"/>
      <x:c r="E184" s="113"/>
      <x:c r="F184" s="111"/>
      <x:c r="G184" s="111"/>
      <x:c r="H184" s="114"/>
      <x:c r="I184" s="115"/>
      <x:c r="J184" s="92"/>
      <x:c r="K184" s="92"/>
      <x:c r="L184" s="92"/>
      <x:c r="M184" s="92"/>
      <x:c r="N184" s="92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 spans="1:26">
      <x:c r="A185" s="106"/>
      <x:c r="B185" s="106"/>
      <x:c r="C185" s="106"/>
      <x:c r="D185" s="107"/>
      <x:c r="E185" s="108"/>
      <x:c r="F185" s="106"/>
      <x:c r="G185" s="106"/>
      <x:c r="H185" s="109"/>
      <x:c r="I185" s="11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</x:row>
    <x:row r="186" spans="1:26">
      <x:c r="A186" s="111"/>
      <x:c r="B186" s="111"/>
      <x:c r="C186" s="111"/>
      <x:c r="D186" s="112"/>
      <x:c r="E186" s="113"/>
      <x:c r="F186" s="111"/>
      <x:c r="G186" s="111"/>
      <x:c r="H186" s="114"/>
      <x:c r="I186" s="115"/>
      <x:c r="J186" s="92"/>
      <x:c r="K186" s="92"/>
      <x:c r="L186" s="92"/>
      <x:c r="M186" s="92"/>
      <x:c r="N186" s="92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 spans="1:26">
      <x:c r="A187" s="106"/>
      <x:c r="B187" s="106"/>
      <x:c r="C187" s="106"/>
      <x:c r="D187" s="107"/>
      <x:c r="E187" s="108"/>
      <x:c r="F187" s="106"/>
      <x:c r="G187" s="106"/>
      <x:c r="H187" s="109"/>
      <x:c r="I187" s="11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</x:row>
    <x:row r="188" spans="1:26">
      <x:c r="A188" s="111"/>
      <x:c r="B188" s="111"/>
      <x:c r="C188" s="111"/>
      <x:c r="D188" s="112"/>
      <x:c r="E188" s="113"/>
      <x:c r="F188" s="111"/>
      <x:c r="G188" s="111"/>
      <x:c r="H188" s="114"/>
      <x:c r="I188" s="115"/>
      <x:c r="J188" s="92"/>
      <x:c r="K188" s="92"/>
      <x:c r="L188" s="92"/>
      <x:c r="M188" s="92"/>
      <x:c r="N188" s="92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 spans="1:26">
      <x:c r="A189" s="106"/>
      <x:c r="B189" s="106"/>
      <x:c r="C189" s="106"/>
      <x:c r="D189" s="107"/>
      <x:c r="E189" s="108"/>
      <x:c r="F189" s="106"/>
      <x:c r="G189" s="106"/>
      <x:c r="H189" s="109"/>
      <x:c r="I189" s="11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</x:row>
    <x:row r="190" spans="1:26">
      <x:c r="A190" s="111"/>
      <x:c r="B190" s="111"/>
      <x:c r="C190" s="111"/>
      <x:c r="D190" s="112"/>
      <x:c r="E190" s="113"/>
      <x:c r="F190" s="111"/>
      <x:c r="G190" s="111"/>
      <x:c r="H190" s="114"/>
      <x:c r="I190" s="115"/>
      <x:c r="J190" s="92"/>
      <x:c r="K190" s="92"/>
      <x:c r="L190" s="92"/>
      <x:c r="M190" s="92"/>
      <x:c r="N190" s="92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 spans="1:26">
      <x:c r="A191" s="106"/>
      <x:c r="B191" s="106"/>
      <x:c r="C191" s="106"/>
      <x:c r="D191" s="107"/>
      <x:c r="E191" s="108"/>
      <x:c r="F191" s="106"/>
      <x:c r="G191" s="106"/>
      <x:c r="H191" s="109"/>
      <x:c r="I191" s="11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</x:row>
    <x:row r="192" spans="1:26">
      <x:c r="A192" s="111"/>
      <x:c r="B192" s="111"/>
      <x:c r="C192" s="111"/>
      <x:c r="D192" s="112"/>
      <x:c r="E192" s="113"/>
      <x:c r="F192" s="111"/>
      <x:c r="G192" s="111"/>
      <x:c r="H192" s="114"/>
      <x:c r="I192" s="115"/>
      <x:c r="J192" s="92"/>
      <x:c r="K192" s="92"/>
      <x:c r="L192" s="92"/>
      <x:c r="M192" s="92"/>
      <x:c r="N192" s="92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 spans="1:26">
      <x:c r="A193" s="106"/>
      <x:c r="B193" s="106"/>
      <x:c r="C193" s="106"/>
      <x:c r="D193" s="107"/>
      <x:c r="E193" s="108"/>
      <x:c r="F193" s="106"/>
      <x:c r="G193" s="106"/>
      <x:c r="H193" s="109"/>
      <x:c r="I193" s="11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</x:row>
    <x:row r="194" spans="1:26">
      <x:c r="A194" s="111"/>
      <x:c r="B194" s="111"/>
      <x:c r="C194" s="111"/>
      <x:c r="D194" s="112"/>
      <x:c r="E194" s="113"/>
      <x:c r="F194" s="111"/>
      <x:c r="G194" s="111"/>
      <x:c r="H194" s="114"/>
      <x:c r="I194" s="115"/>
      <x:c r="J194" s="92"/>
      <x:c r="K194" s="92"/>
      <x:c r="L194" s="92"/>
      <x:c r="M194" s="92"/>
      <x:c r="N194" s="92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 spans="1:26">
      <x:c r="A195" s="106"/>
      <x:c r="B195" s="106"/>
      <x:c r="C195" s="106"/>
      <x:c r="D195" s="107"/>
      <x:c r="E195" s="108"/>
      <x:c r="F195" s="106"/>
      <x:c r="G195" s="106"/>
      <x:c r="H195" s="109"/>
      <x:c r="I195" s="11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</x:row>
    <x:row r="196" spans="1:26">
      <x:c r="A196" s="111"/>
      <x:c r="B196" s="111"/>
      <x:c r="C196" s="111"/>
      <x:c r="D196" s="112"/>
      <x:c r="E196" s="113"/>
      <x:c r="F196" s="111"/>
      <x:c r="G196" s="111"/>
      <x:c r="H196" s="114"/>
      <x:c r="I196" s="115"/>
      <x:c r="J196" s="92"/>
      <x:c r="K196" s="92"/>
      <x:c r="L196" s="92"/>
      <x:c r="M196" s="92"/>
      <x:c r="N196" s="92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 spans="1:26">
      <x:c r="A197" s="106"/>
      <x:c r="B197" s="106"/>
      <x:c r="C197" s="106"/>
      <x:c r="D197" s="107"/>
      <x:c r="E197" s="108"/>
      <x:c r="F197" s="106"/>
      <x:c r="G197" s="106"/>
      <x:c r="H197" s="109"/>
      <x:c r="I197" s="11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</x:row>
    <x:row r="198" spans="1:26">
      <x:c r="A198" s="111"/>
      <x:c r="B198" s="111"/>
      <x:c r="C198" s="111"/>
      <x:c r="D198" s="112"/>
      <x:c r="E198" s="113"/>
      <x:c r="F198" s="111"/>
      <x:c r="G198" s="111"/>
      <x:c r="H198" s="114"/>
      <x:c r="I198" s="115"/>
      <x:c r="J198" s="92"/>
      <x:c r="K198" s="92"/>
      <x:c r="L198" s="92"/>
      <x:c r="M198" s="92"/>
      <x:c r="N198" s="92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 spans="1:26">
      <x:c r="A199" s="106"/>
      <x:c r="B199" s="106"/>
      <x:c r="C199" s="106"/>
      <x:c r="D199" s="107"/>
      <x:c r="E199" s="108"/>
      <x:c r="F199" s="106"/>
      <x:c r="G199" s="106"/>
      <x:c r="H199" s="109"/>
      <x:c r="I199" s="11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</x:row>
    <x:row r="200" spans="1:26">
      <x:c r="A200" s="111"/>
      <x:c r="B200" s="111"/>
      <x:c r="C200" s="111"/>
      <x:c r="D200" s="112"/>
      <x:c r="E200" s="113"/>
      <x:c r="F200" s="111"/>
      <x:c r="G200" s="111"/>
      <x:c r="H200" s="114"/>
      <x:c r="I200" s="115"/>
      <x:c r="J200" s="92"/>
      <x:c r="K200" s="92"/>
      <x:c r="L200" s="92"/>
      <x:c r="M200" s="92"/>
      <x:c r="N200" s="92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  <x:row r="201" spans="1:26">
      <x:c r="A201" s="106"/>
      <x:c r="B201" s="106"/>
      <x:c r="C201" s="106"/>
      <x:c r="D201" s="107"/>
      <x:c r="E201" s="108"/>
      <x:c r="F201" s="106"/>
      <x:c r="G201" s="106"/>
      <x:c r="H201" s="109"/>
      <x:c r="I201" s="11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</x:row>
    <x:row r="202" spans="1:26">
      <x:c r="A202" s="111"/>
      <x:c r="B202" s="111"/>
      <x:c r="C202" s="111"/>
      <x:c r="D202" s="112"/>
      <x:c r="E202" s="113"/>
      <x:c r="F202" s="111"/>
      <x:c r="G202" s="111"/>
      <x:c r="H202" s="114"/>
      <x:c r="I202" s="115"/>
      <x:c r="J202" s="92"/>
      <x:c r="K202" s="92"/>
      <x:c r="L202" s="92"/>
      <x:c r="M202" s="92"/>
      <x:c r="N202" s="92"/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</x:row>
    <x:row r="203" spans="1:26">
      <x:c r="A203" s="106"/>
      <x:c r="B203" s="106"/>
      <x:c r="C203" s="106"/>
      <x:c r="D203" s="107"/>
      <x:c r="E203" s="108"/>
      <x:c r="F203" s="106"/>
      <x:c r="G203" s="106"/>
      <x:c r="H203" s="109"/>
      <x:c r="I203" s="11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</x:row>
    <x:row r="204" spans="1:26">
      <x:c r="A204" s="111"/>
      <x:c r="B204" s="111"/>
      <x:c r="C204" s="111"/>
      <x:c r="D204" s="112"/>
      <x:c r="E204" s="113"/>
      <x:c r="F204" s="111"/>
      <x:c r="G204" s="111"/>
      <x:c r="H204" s="114"/>
      <x:c r="I204" s="115"/>
      <x:c r="J204" s="92"/>
      <x:c r="K204" s="92"/>
      <x:c r="L204" s="92"/>
      <x:c r="M204" s="92"/>
      <x:c r="N204" s="92"/>
      <x:c r="O204" s="92"/>
      <x:c r="P204" s="92"/>
      <x:c r="Q204" s="92"/>
      <x:c r="R204" s="92"/>
      <x:c r="S204" s="92"/>
      <x:c r="T204" s="92"/>
      <x:c r="U204" s="92"/>
      <x:c r="V204" s="92"/>
      <x:c r="W204" s="92"/>
      <x:c r="X204" s="92"/>
      <x:c r="Y204" s="92"/>
      <x:c r="Z204" s="92"/>
    </x:row>
    <x:row r="205" spans="1:26">
      <x:c r="A205" s="106"/>
      <x:c r="B205" s="106"/>
      <x:c r="C205" s="106"/>
      <x:c r="D205" s="107"/>
      <x:c r="E205" s="108"/>
      <x:c r="F205" s="106"/>
      <x:c r="G205" s="106"/>
      <x:c r="H205" s="109"/>
      <x:c r="I205" s="11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</x:row>
    <x:row r="206" spans="1:26">
      <x:c r="A206" s="111"/>
      <x:c r="B206" s="111"/>
      <x:c r="C206" s="111"/>
      <x:c r="D206" s="112"/>
      <x:c r="E206" s="113"/>
      <x:c r="F206" s="111"/>
      <x:c r="G206" s="111"/>
      <x:c r="H206" s="114"/>
      <x:c r="I206" s="115"/>
      <x:c r="J206" s="92"/>
      <x:c r="K206" s="92"/>
      <x:c r="L206" s="92"/>
      <x:c r="M206" s="92"/>
      <x:c r="N206" s="92"/>
      <x:c r="O206" s="92"/>
      <x:c r="P206" s="92"/>
      <x:c r="Q206" s="92"/>
      <x:c r="R206" s="92"/>
      <x:c r="S206" s="92"/>
      <x:c r="T206" s="92"/>
      <x:c r="U206" s="92"/>
      <x:c r="V206" s="92"/>
      <x:c r="W206" s="92"/>
      <x:c r="X206" s="92"/>
      <x:c r="Y206" s="92"/>
      <x:c r="Z206" s="92"/>
    </x:row>
    <x:row r="207" spans="1:26">
      <x:c r="A207" s="106"/>
      <x:c r="B207" s="106"/>
      <x:c r="C207" s="106"/>
      <x:c r="D207" s="107"/>
      <x:c r="E207" s="108"/>
      <x:c r="F207" s="106"/>
      <x:c r="G207" s="106"/>
      <x:c r="H207" s="109"/>
      <x:c r="I207" s="11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</x:row>
    <x:row r="208" spans="1:26">
      <x:c r="A208" s="111"/>
      <x:c r="B208" s="111"/>
      <x:c r="C208" s="111"/>
      <x:c r="D208" s="112"/>
      <x:c r="E208" s="113"/>
      <x:c r="F208" s="111"/>
      <x:c r="G208" s="111"/>
      <x:c r="H208" s="114"/>
      <x:c r="I208" s="115"/>
      <x:c r="J208" s="92"/>
      <x:c r="K208" s="92"/>
      <x:c r="L208" s="92"/>
      <x:c r="M208" s="92"/>
      <x:c r="N208" s="92"/>
      <x:c r="O208" s="92"/>
      <x:c r="P208" s="92"/>
      <x:c r="Q208" s="92"/>
      <x:c r="R208" s="92"/>
      <x:c r="S208" s="92"/>
      <x:c r="T208" s="92"/>
      <x:c r="U208" s="92"/>
      <x:c r="V208" s="92"/>
      <x:c r="W208" s="92"/>
      <x:c r="X208" s="92"/>
      <x:c r="Y208" s="92"/>
      <x:c r="Z208" s="92"/>
    </x:row>
    <x:row r="209" spans="1:26">
      <x:c r="A209" s="106"/>
      <x:c r="B209" s="106"/>
      <x:c r="C209" s="106"/>
      <x:c r="D209" s="107"/>
      <x:c r="E209" s="108"/>
      <x:c r="F209" s="106"/>
      <x:c r="G209" s="106"/>
      <x:c r="H209" s="109"/>
      <x:c r="I209" s="11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</x:row>
    <x:row r="210" spans="1:26">
      <x:c r="A210" s="111"/>
      <x:c r="B210" s="111"/>
      <x:c r="C210" s="111"/>
      <x:c r="D210" s="112"/>
      <x:c r="E210" s="113"/>
      <x:c r="F210" s="111"/>
      <x:c r="G210" s="111"/>
      <x:c r="H210" s="114"/>
      <x:c r="I210" s="115"/>
      <x:c r="J210" s="92"/>
      <x:c r="K210" s="92"/>
      <x:c r="L210" s="92"/>
      <x:c r="M210" s="92"/>
      <x:c r="N210" s="92"/>
      <x:c r="O210" s="92"/>
      <x:c r="P210" s="92"/>
      <x:c r="Q210" s="92"/>
      <x:c r="R210" s="92"/>
      <x:c r="S210" s="92"/>
      <x:c r="T210" s="92"/>
      <x:c r="U210" s="92"/>
      <x:c r="V210" s="92"/>
      <x:c r="W210" s="92"/>
      <x:c r="X210" s="92"/>
      <x:c r="Y210" s="92"/>
      <x:c r="Z210" s="92"/>
    </x:row>
    <x:row r="211" spans="1:26">
      <x:c r="A211" s="106"/>
      <x:c r="B211" s="106"/>
      <x:c r="C211" s="106"/>
      <x:c r="D211" s="107"/>
      <x:c r="E211" s="108"/>
      <x:c r="F211" s="106"/>
      <x:c r="G211" s="106"/>
      <x:c r="H211" s="109"/>
      <x:c r="I211" s="11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</x:row>
    <x:row r="212" spans="1:26">
      <x:c r="A212" s="111"/>
      <x:c r="B212" s="111"/>
      <x:c r="C212" s="111"/>
      <x:c r="D212" s="112"/>
      <x:c r="E212" s="113"/>
      <x:c r="F212" s="111"/>
      <x:c r="G212" s="111"/>
      <x:c r="H212" s="114"/>
      <x:c r="I212" s="115"/>
      <x:c r="J212" s="92"/>
      <x:c r="K212" s="92"/>
      <x:c r="L212" s="92"/>
      <x:c r="M212" s="92"/>
      <x:c r="N212" s="92"/>
      <x:c r="O212" s="92"/>
      <x:c r="P212" s="92"/>
      <x:c r="Q212" s="92"/>
      <x:c r="R212" s="92"/>
      <x:c r="S212" s="92"/>
      <x:c r="T212" s="92"/>
      <x:c r="U212" s="92"/>
      <x:c r="V212" s="92"/>
      <x:c r="W212" s="92"/>
      <x:c r="X212" s="92"/>
      <x:c r="Y212" s="92"/>
      <x:c r="Z212" s="92"/>
    </x:row>
    <x:row r="213" spans="1:26">
      <x:c r="A213" s="106"/>
      <x:c r="B213" s="106"/>
      <x:c r="C213" s="106"/>
      <x:c r="D213" s="107"/>
      <x:c r="E213" s="108"/>
      <x:c r="F213" s="106"/>
      <x:c r="G213" s="106"/>
      <x:c r="H213" s="109"/>
      <x:c r="I213" s="11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</x:row>
    <x:row r="214" spans="1:26">
      <x:c r="A214" s="111"/>
      <x:c r="B214" s="111"/>
      <x:c r="C214" s="111"/>
      <x:c r="D214" s="112"/>
      <x:c r="E214" s="113"/>
      <x:c r="F214" s="111"/>
      <x:c r="G214" s="111"/>
      <x:c r="H214" s="114"/>
      <x:c r="I214" s="115"/>
      <x:c r="J214" s="92"/>
      <x:c r="K214" s="92"/>
      <x:c r="L214" s="92"/>
      <x:c r="M214" s="92"/>
      <x:c r="N214" s="92"/>
      <x:c r="O214" s="92"/>
      <x:c r="P214" s="92"/>
      <x:c r="Q214" s="92"/>
      <x:c r="R214" s="92"/>
      <x:c r="S214" s="92"/>
      <x:c r="T214" s="92"/>
      <x:c r="U214" s="92"/>
      <x:c r="V214" s="92"/>
      <x:c r="W214" s="92"/>
      <x:c r="X214" s="92"/>
      <x:c r="Y214" s="92"/>
      <x:c r="Z214" s="92"/>
    </x:row>
    <x:row r="215" spans="1:26">
      <x:c r="A215" s="106"/>
      <x:c r="B215" s="106"/>
      <x:c r="C215" s="106"/>
      <x:c r="D215" s="107"/>
      <x:c r="E215" s="108"/>
      <x:c r="F215" s="106"/>
      <x:c r="G215" s="106"/>
      <x:c r="H215" s="109"/>
      <x:c r="I215" s="11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</x:row>
    <x:row r="216" spans="1:26">
      <x:c r="A216" s="111"/>
      <x:c r="B216" s="111"/>
      <x:c r="C216" s="111"/>
      <x:c r="D216" s="112"/>
      <x:c r="E216" s="113"/>
      <x:c r="F216" s="111"/>
      <x:c r="G216" s="111"/>
      <x:c r="H216" s="114"/>
      <x:c r="I216" s="115"/>
      <x:c r="J216" s="92"/>
      <x:c r="K216" s="92"/>
      <x:c r="L216" s="92"/>
      <x:c r="M216" s="92"/>
      <x:c r="N216" s="92"/>
      <x:c r="O216" s="92"/>
      <x:c r="P216" s="92"/>
      <x:c r="Q216" s="92"/>
      <x:c r="R216" s="92"/>
      <x:c r="S216" s="92"/>
      <x:c r="T216" s="92"/>
      <x:c r="U216" s="92"/>
      <x:c r="V216" s="92"/>
      <x:c r="W216" s="92"/>
      <x:c r="X216" s="92"/>
      <x:c r="Y216" s="92"/>
      <x:c r="Z216" s="92"/>
    </x:row>
    <x:row r="217" spans="1:26">
      <x:c r="A217" s="106"/>
      <x:c r="B217" s="106"/>
      <x:c r="C217" s="106"/>
      <x:c r="D217" s="107"/>
      <x:c r="E217" s="108"/>
      <x:c r="F217" s="106"/>
      <x:c r="G217" s="106"/>
      <x:c r="H217" s="109"/>
      <x:c r="I217" s="11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</x:row>
    <x:row r="218" spans="1:26">
      <x:c r="A218" s="111"/>
      <x:c r="B218" s="111"/>
      <x:c r="C218" s="111"/>
      <x:c r="D218" s="112"/>
      <x:c r="E218" s="113"/>
      <x:c r="F218" s="111"/>
      <x:c r="G218" s="111"/>
      <x:c r="H218" s="114"/>
      <x:c r="I218" s="115"/>
      <x:c r="J218" s="92"/>
      <x:c r="K218" s="92"/>
      <x:c r="L218" s="92"/>
      <x:c r="M218" s="92"/>
      <x:c r="N218" s="92"/>
      <x:c r="O218" s="92"/>
      <x:c r="P218" s="92"/>
      <x:c r="Q218" s="92"/>
      <x:c r="R218" s="92"/>
      <x:c r="S218" s="92"/>
      <x:c r="T218" s="92"/>
      <x:c r="U218" s="92"/>
      <x:c r="V218" s="92"/>
      <x:c r="W218" s="92"/>
      <x:c r="X218" s="92"/>
      <x:c r="Y218" s="92"/>
      <x:c r="Z218" s="92"/>
    </x:row>
    <x:row r="219" spans="1:26">
      <x:c r="A219" s="106"/>
      <x:c r="B219" s="106"/>
      <x:c r="C219" s="106"/>
      <x:c r="D219" s="107"/>
      <x:c r="E219" s="108"/>
      <x:c r="F219" s="106"/>
      <x:c r="G219" s="106"/>
      <x:c r="H219" s="109"/>
      <x:c r="I219" s="11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</x:row>
    <x:row r="220" spans="1:26">
      <x:c r="A220" s="111"/>
      <x:c r="B220" s="111"/>
      <x:c r="C220" s="111"/>
      <x:c r="D220" s="112"/>
      <x:c r="E220" s="113"/>
      <x:c r="F220" s="111"/>
      <x:c r="G220" s="111"/>
      <x:c r="H220" s="114"/>
      <x:c r="I220" s="115"/>
      <x:c r="J220" s="92"/>
      <x:c r="K220" s="92"/>
      <x:c r="L220" s="92"/>
      <x:c r="M220" s="92"/>
      <x:c r="N220" s="92"/>
      <x:c r="O220" s="92"/>
      <x:c r="P220" s="92"/>
      <x:c r="Q220" s="92"/>
      <x:c r="R220" s="92"/>
      <x:c r="S220" s="92"/>
      <x:c r="T220" s="92"/>
      <x:c r="U220" s="92"/>
      <x:c r="V220" s="92"/>
      <x:c r="W220" s="92"/>
      <x:c r="X220" s="92"/>
      <x:c r="Y220" s="92"/>
      <x:c r="Z220" s="92"/>
    </x:row>
    <x:row r="221" spans="1:26">
      <x:c r="A221" s="106"/>
      <x:c r="B221" s="106"/>
      <x:c r="C221" s="106"/>
      <x:c r="D221" s="107"/>
      <x:c r="E221" s="108"/>
      <x:c r="F221" s="106"/>
      <x:c r="G221" s="106"/>
      <x:c r="H221" s="109"/>
      <x:c r="I221" s="11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</x:row>
    <x:row r="222" spans="1:26">
      <x:c r="A222" s="111"/>
      <x:c r="B222" s="111"/>
      <x:c r="C222" s="111"/>
      <x:c r="D222" s="112"/>
      <x:c r="E222" s="113"/>
      <x:c r="F222" s="111"/>
      <x:c r="G222" s="111"/>
      <x:c r="H222" s="114"/>
      <x:c r="I222" s="115"/>
      <x:c r="J222" s="92"/>
      <x:c r="K222" s="92"/>
      <x:c r="L222" s="92"/>
      <x:c r="M222" s="92"/>
      <x:c r="N222" s="92"/>
      <x:c r="O222" s="92"/>
      <x:c r="P222" s="92"/>
      <x:c r="Q222" s="92"/>
      <x:c r="R222" s="92"/>
      <x:c r="S222" s="92"/>
      <x:c r="T222" s="92"/>
      <x:c r="U222" s="92"/>
      <x:c r="V222" s="92"/>
      <x:c r="W222" s="92"/>
      <x:c r="X222" s="92"/>
      <x:c r="Y222" s="92"/>
      <x:c r="Z222" s="92"/>
    </x:row>
    <x:row r="223" spans="1:26">
      <x:c r="A223" s="106"/>
      <x:c r="B223" s="106"/>
      <x:c r="C223" s="106"/>
      <x:c r="D223" s="107"/>
      <x:c r="E223" s="108"/>
      <x:c r="F223" s="106"/>
      <x:c r="G223" s="106"/>
      <x:c r="H223" s="109"/>
      <x:c r="I223" s="11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</x:row>
    <x:row r="224" spans="1:26">
      <x:c r="A224" s="111"/>
      <x:c r="B224" s="111"/>
      <x:c r="C224" s="111"/>
      <x:c r="D224" s="112"/>
      <x:c r="E224" s="113"/>
      <x:c r="F224" s="111"/>
      <x:c r="G224" s="111"/>
      <x:c r="H224" s="114"/>
      <x:c r="I224" s="115"/>
      <x:c r="J224" s="92"/>
      <x:c r="K224" s="92"/>
      <x:c r="L224" s="92"/>
      <x:c r="M224" s="92"/>
      <x:c r="N224" s="92"/>
      <x:c r="O224" s="92"/>
      <x:c r="P224" s="92"/>
      <x:c r="Q224" s="92"/>
      <x:c r="R224" s="92"/>
      <x:c r="S224" s="92"/>
      <x:c r="T224" s="92"/>
      <x:c r="U224" s="92"/>
      <x:c r="V224" s="92"/>
      <x:c r="W224" s="92"/>
      <x:c r="X224" s="92"/>
      <x:c r="Y224" s="92"/>
      <x:c r="Z224" s="92"/>
    </x:row>
    <x:row r="225" spans="1:26">
      <x:c r="A225" s="106"/>
      <x:c r="B225" s="106"/>
      <x:c r="C225" s="106"/>
      <x:c r="D225" s="107"/>
      <x:c r="E225" s="108"/>
      <x:c r="F225" s="106"/>
      <x:c r="G225" s="106"/>
      <x:c r="H225" s="109"/>
      <x:c r="I225" s="11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</x:row>
    <x:row r="226" spans="1:26">
      <x:c r="A226" s="111"/>
      <x:c r="B226" s="111"/>
      <x:c r="C226" s="111"/>
      <x:c r="D226" s="112"/>
      <x:c r="E226" s="113"/>
      <x:c r="F226" s="111"/>
      <x:c r="G226" s="111"/>
      <x:c r="H226" s="114"/>
      <x:c r="I226" s="115"/>
      <x:c r="J226" s="92"/>
      <x:c r="K226" s="92"/>
      <x:c r="L226" s="92"/>
      <x:c r="M226" s="92"/>
      <x:c r="N226" s="92"/>
      <x:c r="O226" s="92"/>
      <x:c r="P226" s="92"/>
      <x:c r="Q226" s="92"/>
      <x:c r="R226" s="92"/>
      <x:c r="S226" s="92"/>
      <x:c r="T226" s="92"/>
      <x:c r="U226" s="92"/>
      <x:c r="V226" s="92"/>
      <x:c r="W226" s="92"/>
      <x:c r="X226" s="92"/>
      <x:c r="Y226" s="92"/>
      <x:c r="Z226" s="92"/>
    </x:row>
    <x:row r="227" spans="1:26">
      <x:c r="A227" s="106"/>
      <x:c r="B227" s="106"/>
      <x:c r="C227" s="106"/>
      <x:c r="D227" s="107"/>
      <x:c r="E227" s="108"/>
      <x:c r="F227" s="106"/>
      <x:c r="G227" s="106"/>
      <x:c r="H227" s="109"/>
      <x:c r="I227" s="11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</x:row>
    <x:row r="228" spans="1:26">
      <x:c r="A228" s="111"/>
      <x:c r="B228" s="111"/>
      <x:c r="C228" s="111"/>
      <x:c r="D228" s="112"/>
      <x:c r="E228" s="113"/>
      <x:c r="F228" s="111"/>
      <x:c r="G228" s="111"/>
      <x:c r="H228" s="114"/>
      <x:c r="I228" s="115"/>
      <x:c r="J228" s="92"/>
      <x:c r="K228" s="92"/>
      <x:c r="L228" s="92"/>
      <x:c r="M228" s="92"/>
      <x:c r="N228" s="92"/>
      <x:c r="O228" s="92"/>
      <x:c r="P228" s="92"/>
      <x:c r="Q228" s="92"/>
      <x:c r="R228" s="92"/>
      <x:c r="S228" s="92"/>
      <x:c r="T228" s="92"/>
      <x:c r="U228" s="92"/>
      <x:c r="V228" s="92"/>
      <x:c r="W228" s="92"/>
      <x:c r="X228" s="92"/>
      <x:c r="Y228" s="92"/>
      <x:c r="Z228" s="92"/>
    </x:row>
    <x:row r="229" spans="1:26">
      <x:c r="A229" s="106"/>
      <x:c r="B229" s="106"/>
      <x:c r="C229" s="106"/>
      <x:c r="D229" s="107"/>
      <x:c r="E229" s="108"/>
      <x:c r="F229" s="106"/>
      <x:c r="G229" s="106"/>
      <x:c r="H229" s="109"/>
      <x:c r="I229" s="11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</x:row>
    <x:row r="230" spans="1:26">
      <x:c r="A230" s="111"/>
      <x:c r="B230" s="111"/>
      <x:c r="C230" s="111"/>
      <x:c r="D230" s="112"/>
      <x:c r="E230" s="113"/>
      <x:c r="F230" s="111"/>
      <x:c r="G230" s="111"/>
      <x:c r="H230" s="114"/>
      <x:c r="I230" s="115"/>
      <x:c r="J230" s="92"/>
      <x:c r="K230" s="92"/>
      <x:c r="L230" s="92"/>
      <x:c r="M230" s="92"/>
      <x:c r="N230" s="92"/>
      <x:c r="O230" s="92"/>
      <x:c r="P230" s="92"/>
      <x:c r="Q230" s="92"/>
      <x:c r="R230" s="92"/>
      <x:c r="S230" s="92"/>
      <x:c r="T230" s="92"/>
      <x:c r="U230" s="92"/>
      <x:c r="V230" s="92"/>
      <x:c r="W230" s="92"/>
      <x:c r="X230" s="92"/>
      <x:c r="Y230" s="92"/>
      <x:c r="Z230" s="92"/>
    </x:row>
    <x:row r="231" spans="1:26">
      <x:c r="A231" s="106"/>
      <x:c r="B231" s="106"/>
      <x:c r="C231" s="106"/>
      <x:c r="D231" s="107"/>
      <x:c r="E231" s="108"/>
      <x:c r="F231" s="106"/>
      <x:c r="G231" s="106"/>
      <x:c r="H231" s="109"/>
      <x:c r="I231" s="11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</x:row>
    <x:row r="232" spans="1:26">
      <x:c r="A232" s="111"/>
      <x:c r="B232" s="111"/>
      <x:c r="C232" s="111"/>
      <x:c r="D232" s="112"/>
      <x:c r="E232" s="113"/>
      <x:c r="F232" s="111"/>
      <x:c r="G232" s="111"/>
      <x:c r="H232" s="114"/>
      <x:c r="I232" s="115"/>
      <x:c r="J232" s="92"/>
      <x:c r="K232" s="92"/>
      <x:c r="L232" s="92"/>
      <x:c r="M232" s="92"/>
      <x:c r="N232" s="92"/>
      <x:c r="O232" s="92"/>
      <x:c r="P232" s="92"/>
      <x:c r="Q232" s="92"/>
      <x:c r="R232" s="92"/>
      <x:c r="S232" s="92"/>
      <x:c r="T232" s="92"/>
      <x:c r="U232" s="92"/>
      <x:c r="V232" s="92"/>
      <x:c r="W232" s="92"/>
      <x:c r="X232" s="92"/>
      <x:c r="Y232" s="92"/>
      <x:c r="Z232" s="92"/>
    </x:row>
    <x:row r="233" spans="1:26">
      <x:c r="A233" s="106"/>
      <x:c r="B233" s="106"/>
      <x:c r="C233" s="106"/>
      <x:c r="D233" s="107"/>
      <x:c r="E233" s="108"/>
      <x:c r="F233" s="106"/>
      <x:c r="G233" s="106"/>
      <x:c r="H233" s="109"/>
      <x:c r="I233" s="11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</x:row>
    <x:row r="234" spans="1:26">
      <x:c r="A234" s="111"/>
      <x:c r="B234" s="111"/>
      <x:c r="C234" s="111"/>
      <x:c r="D234" s="112"/>
      <x:c r="E234" s="113"/>
      <x:c r="F234" s="111"/>
      <x:c r="G234" s="111"/>
      <x:c r="H234" s="114"/>
      <x:c r="I234" s="115"/>
      <x:c r="J234" s="92"/>
      <x:c r="K234" s="92"/>
      <x:c r="L234" s="92"/>
      <x:c r="M234" s="92"/>
      <x:c r="N234" s="92"/>
      <x:c r="O234" s="92"/>
      <x:c r="P234" s="92"/>
      <x:c r="Q234" s="92"/>
      <x:c r="R234" s="92"/>
      <x:c r="S234" s="92"/>
      <x:c r="T234" s="92"/>
      <x:c r="U234" s="92"/>
      <x:c r="V234" s="92"/>
      <x:c r="W234" s="92"/>
      <x:c r="X234" s="92"/>
      <x:c r="Y234" s="92"/>
      <x:c r="Z234" s="92"/>
    </x:row>
    <x:row r="235" spans="1:26">
      <x:c r="A235" s="106"/>
      <x:c r="B235" s="106"/>
      <x:c r="C235" s="106"/>
      <x:c r="D235" s="107"/>
      <x:c r="E235" s="108"/>
      <x:c r="F235" s="106"/>
      <x:c r="G235" s="106"/>
      <x:c r="H235" s="109"/>
      <x:c r="I235" s="11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</x:row>
    <x:row r="236" spans="1:26">
      <x:c r="A236" s="111"/>
      <x:c r="B236" s="111"/>
      <x:c r="C236" s="111"/>
      <x:c r="D236" s="112"/>
      <x:c r="E236" s="113"/>
      <x:c r="F236" s="111"/>
      <x:c r="G236" s="111"/>
      <x:c r="H236" s="114"/>
      <x:c r="I236" s="115"/>
      <x:c r="J236" s="92"/>
      <x:c r="K236" s="92"/>
      <x:c r="L236" s="92"/>
      <x:c r="M236" s="92"/>
      <x:c r="N236" s="92"/>
      <x:c r="O236" s="92"/>
      <x:c r="P236" s="92"/>
      <x:c r="Q236" s="92"/>
      <x:c r="R236" s="92"/>
      <x:c r="S236" s="92"/>
      <x:c r="T236" s="92"/>
      <x:c r="U236" s="92"/>
      <x:c r="V236" s="92"/>
      <x:c r="W236" s="92"/>
      <x:c r="X236" s="92"/>
      <x:c r="Y236" s="92"/>
      <x:c r="Z236" s="92"/>
    </x:row>
    <x:row r="237" spans="1:26">
      <x:c r="A237" s="106"/>
      <x:c r="B237" s="106"/>
      <x:c r="C237" s="106"/>
      <x:c r="D237" s="107"/>
      <x:c r="E237" s="108"/>
      <x:c r="F237" s="106"/>
      <x:c r="G237" s="106"/>
      <x:c r="H237" s="109"/>
      <x:c r="I237" s="11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</x:row>
    <x:row r="238" spans="1:26">
      <x:c r="A238" s="111"/>
      <x:c r="B238" s="111"/>
      <x:c r="C238" s="111"/>
      <x:c r="D238" s="112"/>
      <x:c r="E238" s="113"/>
      <x:c r="F238" s="111"/>
      <x:c r="G238" s="111"/>
      <x:c r="H238" s="114"/>
      <x:c r="I238" s="115"/>
      <x:c r="J238" s="92"/>
      <x:c r="K238" s="92"/>
      <x:c r="L238" s="92"/>
      <x:c r="M238" s="92"/>
      <x:c r="N238" s="92"/>
      <x:c r="O238" s="92"/>
      <x:c r="P238" s="92"/>
      <x:c r="Q238" s="92"/>
      <x:c r="R238" s="92"/>
      <x:c r="S238" s="92"/>
      <x:c r="T238" s="92"/>
      <x:c r="U238" s="92"/>
      <x:c r="V238" s="92"/>
      <x:c r="W238" s="92"/>
      <x:c r="X238" s="92"/>
      <x:c r="Y238" s="92"/>
      <x:c r="Z238" s="92"/>
    </x:row>
    <x:row r="239" spans="1:26">
      <x:c r="A239" s="106"/>
      <x:c r="B239" s="106"/>
      <x:c r="C239" s="106"/>
      <x:c r="D239" s="107"/>
      <x:c r="E239" s="108"/>
      <x:c r="F239" s="106"/>
      <x:c r="G239" s="106"/>
      <x:c r="H239" s="109"/>
      <x:c r="I239" s="11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</x:row>
    <x:row r="240" spans="1:26">
      <x:c r="A240" s="111"/>
      <x:c r="B240" s="111"/>
      <x:c r="C240" s="111"/>
      <x:c r="D240" s="112"/>
      <x:c r="E240" s="113"/>
      <x:c r="F240" s="111"/>
      <x:c r="G240" s="111"/>
      <x:c r="H240" s="114"/>
      <x:c r="I240" s="115"/>
      <x:c r="J240" s="92"/>
      <x:c r="K240" s="92"/>
      <x:c r="L240" s="92"/>
      <x:c r="M240" s="92"/>
      <x:c r="N240" s="92"/>
      <x:c r="O240" s="92"/>
      <x:c r="P240" s="92"/>
      <x:c r="Q240" s="92"/>
      <x:c r="R240" s="92"/>
      <x:c r="S240" s="92"/>
      <x:c r="T240" s="92"/>
      <x:c r="U240" s="92"/>
      <x:c r="V240" s="92"/>
      <x:c r="W240" s="92"/>
      <x:c r="X240" s="92"/>
      <x:c r="Y240" s="92"/>
      <x:c r="Z240" s="92"/>
    </x:row>
    <x:row r="241" spans="1:26">
      <x:c r="A241" s="106"/>
      <x:c r="B241" s="106"/>
      <x:c r="C241" s="106"/>
      <x:c r="D241" s="107"/>
      <x:c r="E241" s="108"/>
      <x:c r="F241" s="106"/>
      <x:c r="G241" s="106"/>
      <x:c r="H241" s="109"/>
      <x:c r="I241" s="11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</x:row>
    <x:row r="242" spans="1:26">
      <x:c r="A242" s="111"/>
      <x:c r="B242" s="111"/>
      <x:c r="C242" s="111"/>
      <x:c r="D242" s="112"/>
      <x:c r="E242" s="113"/>
      <x:c r="F242" s="111"/>
      <x:c r="G242" s="111"/>
      <x:c r="H242" s="114"/>
      <x:c r="I242" s="115"/>
      <x:c r="J242" s="92"/>
      <x:c r="K242" s="92"/>
      <x:c r="L242" s="92"/>
      <x:c r="M242" s="92"/>
      <x:c r="N242" s="92"/>
      <x:c r="O242" s="92"/>
      <x:c r="P242" s="92"/>
      <x:c r="Q242" s="92"/>
      <x:c r="R242" s="92"/>
      <x:c r="S242" s="92"/>
      <x:c r="T242" s="92"/>
      <x:c r="U242" s="92"/>
      <x:c r="V242" s="92"/>
      <x:c r="W242" s="92"/>
      <x:c r="X242" s="92"/>
      <x:c r="Y242" s="92"/>
      <x:c r="Z242" s="92"/>
    </x:row>
    <x:row r="243" spans="1:26">
      <x:c r="A243" s="106"/>
      <x:c r="B243" s="106"/>
      <x:c r="C243" s="106"/>
      <x:c r="D243" s="107"/>
      <x:c r="E243" s="108"/>
      <x:c r="F243" s="106"/>
      <x:c r="G243" s="106"/>
      <x:c r="H243" s="109"/>
      <x:c r="I243" s="11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</x:row>
    <x:row r="244" spans="1:26">
      <x:c r="A244" s="111"/>
      <x:c r="B244" s="111"/>
      <x:c r="C244" s="111"/>
      <x:c r="D244" s="112"/>
      <x:c r="E244" s="113"/>
      <x:c r="F244" s="111"/>
      <x:c r="G244" s="111"/>
      <x:c r="H244" s="114"/>
      <x:c r="I244" s="115"/>
      <x:c r="J244" s="92"/>
      <x:c r="K244" s="92"/>
      <x:c r="L244" s="92"/>
      <x:c r="M244" s="92"/>
      <x:c r="N244" s="92"/>
      <x:c r="O244" s="92"/>
      <x:c r="P244" s="92"/>
      <x:c r="Q244" s="92"/>
      <x:c r="R244" s="92"/>
      <x:c r="S244" s="92"/>
      <x:c r="T244" s="92"/>
      <x:c r="U244" s="92"/>
      <x:c r="V244" s="92"/>
      <x:c r="W244" s="92"/>
      <x:c r="X244" s="92"/>
      <x:c r="Y244" s="92"/>
      <x:c r="Z244" s="92"/>
    </x:row>
    <x:row r="245" spans="1:26">
      <x:c r="A245" s="106"/>
      <x:c r="B245" s="106"/>
      <x:c r="C245" s="106"/>
      <x:c r="D245" s="107"/>
      <x:c r="E245" s="108"/>
      <x:c r="F245" s="106"/>
      <x:c r="G245" s="106"/>
      <x:c r="H245" s="109"/>
      <x:c r="I245" s="11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</x:row>
    <x:row r="246" spans="1:26">
      <x:c r="A246" s="111"/>
      <x:c r="B246" s="111"/>
      <x:c r="C246" s="111"/>
      <x:c r="D246" s="112"/>
      <x:c r="E246" s="113"/>
      <x:c r="F246" s="111"/>
      <x:c r="G246" s="111"/>
      <x:c r="H246" s="114"/>
      <x:c r="I246" s="115"/>
      <x:c r="J246" s="92"/>
      <x:c r="K246" s="92"/>
      <x:c r="L246" s="92"/>
      <x:c r="M246" s="92"/>
      <x:c r="N246" s="92"/>
      <x:c r="O246" s="92"/>
      <x:c r="P246" s="92"/>
      <x:c r="Q246" s="92"/>
      <x:c r="R246" s="92"/>
      <x:c r="S246" s="92"/>
      <x:c r="T246" s="92"/>
      <x:c r="U246" s="92"/>
      <x:c r="V246" s="92"/>
      <x:c r="W246" s="92"/>
      <x:c r="X246" s="92"/>
      <x:c r="Y246" s="92"/>
      <x:c r="Z246" s="92"/>
    </x:row>
    <x:row r="247" spans="1:26">
      <x:c r="A247" s="106"/>
      <x:c r="B247" s="106"/>
      <x:c r="C247" s="106"/>
      <x:c r="D247" s="107"/>
      <x:c r="E247" s="108"/>
      <x:c r="F247" s="106"/>
      <x:c r="G247" s="106"/>
      <x:c r="H247" s="109"/>
      <x:c r="I247" s="11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</x:row>
    <x:row r="248" spans="1:26">
      <x:c r="A248" s="111"/>
      <x:c r="B248" s="111"/>
      <x:c r="C248" s="111"/>
      <x:c r="D248" s="112"/>
      <x:c r="E248" s="113"/>
      <x:c r="F248" s="111"/>
      <x:c r="G248" s="111"/>
      <x:c r="H248" s="114"/>
      <x:c r="I248" s="115"/>
      <x:c r="J248" s="92"/>
      <x:c r="K248" s="92"/>
      <x:c r="L248" s="92"/>
      <x:c r="M248" s="92"/>
      <x:c r="N248" s="92"/>
      <x:c r="O248" s="92"/>
      <x:c r="P248" s="92"/>
      <x:c r="Q248" s="92"/>
      <x:c r="R248" s="92"/>
      <x:c r="S248" s="92"/>
      <x:c r="T248" s="92"/>
      <x:c r="U248" s="92"/>
      <x:c r="V248" s="92"/>
      <x:c r="W248" s="92"/>
      <x:c r="X248" s="92"/>
      <x:c r="Y248" s="92"/>
      <x:c r="Z248" s="92"/>
    </x:row>
    <x:row r="249" spans="1:26">
      <x:c r="A249" s="106"/>
      <x:c r="B249" s="106"/>
      <x:c r="C249" s="106"/>
      <x:c r="D249" s="107"/>
      <x:c r="E249" s="108"/>
      <x:c r="F249" s="106"/>
      <x:c r="G249" s="106"/>
      <x:c r="H249" s="109"/>
      <x:c r="I249" s="11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</x:row>
    <x:row r="250" spans="1:26">
      <x:c r="A250" s="111"/>
      <x:c r="B250" s="111"/>
      <x:c r="C250" s="111"/>
      <x:c r="D250" s="112"/>
      <x:c r="E250" s="113"/>
      <x:c r="F250" s="111"/>
      <x:c r="G250" s="111"/>
      <x:c r="H250" s="114"/>
      <x:c r="I250" s="115"/>
      <x:c r="J250" s="92"/>
      <x:c r="K250" s="92"/>
      <x:c r="L250" s="92"/>
      <x:c r="M250" s="92"/>
      <x:c r="N250" s="92"/>
      <x:c r="O250" s="92"/>
      <x:c r="P250" s="92"/>
      <x:c r="Q250" s="92"/>
      <x:c r="R250" s="92"/>
      <x:c r="S250" s="92"/>
      <x:c r="T250" s="92"/>
      <x:c r="U250" s="92"/>
      <x:c r="V250" s="92"/>
      <x:c r="W250" s="92"/>
      <x:c r="X250" s="92"/>
      <x:c r="Y250" s="92"/>
      <x:c r="Z250" s="92"/>
    </x:row>
    <x:row r="251" spans="1:26">
      <x:c r="A251" s="106"/>
      <x:c r="B251" s="106"/>
      <x:c r="C251" s="106"/>
      <x:c r="D251" s="107"/>
      <x:c r="E251" s="108"/>
      <x:c r="F251" s="106"/>
      <x:c r="G251" s="106"/>
      <x:c r="H251" s="109"/>
      <x:c r="I251" s="11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</x:row>
    <x:row r="252" spans="1:26">
      <x:c r="A252" s="111"/>
      <x:c r="B252" s="111"/>
      <x:c r="C252" s="111"/>
      <x:c r="D252" s="112"/>
      <x:c r="E252" s="113"/>
      <x:c r="F252" s="111"/>
      <x:c r="G252" s="111"/>
      <x:c r="H252" s="114"/>
      <x:c r="I252" s="115"/>
      <x:c r="J252" s="92"/>
      <x:c r="K252" s="92"/>
      <x:c r="L252" s="92"/>
      <x:c r="M252" s="92"/>
      <x:c r="N252" s="92"/>
      <x:c r="O252" s="92"/>
      <x:c r="P252" s="92"/>
      <x:c r="Q252" s="92"/>
      <x:c r="R252" s="92"/>
      <x:c r="S252" s="92"/>
      <x:c r="T252" s="92"/>
      <x:c r="U252" s="92"/>
      <x:c r="V252" s="92"/>
      <x:c r="W252" s="92"/>
      <x:c r="X252" s="92"/>
      <x:c r="Y252" s="92"/>
      <x:c r="Z252" s="92"/>
    </x:row>
    <x:row r="253" spans="1:26">
      <x:c r="A253" s="106"/>
      <x:c r="B253" s="106"/>
      <x:c r="C253" s="106"/>
      <x:c r="D253" s="107"/>
      <x:c r="E253" s="108"/>
      <x:c r="F253" s="106"/>
      <x:c r="G253" s="106"/>
      <x:c r="H253" s="109"/>
      <x:c r="I253" s="11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</x:row>
    <x:row r="254" spans="1:26">
      <x:c r="A254" s="111"/>
      <x:c r="B254" s="111"/>
      <x:c r="C254" s="111"/>
      <x:c r="D254" s="112"/>
      <x:c r="E254" s="113"/>
      <x:c r="F254" s="111"/>
      <x:c r="G254" s="111"/>
      <x:c r="H254" s="114"/>
      <x:c r="I254" s="115"/>
      <x:c r="J254" s="92"/>
      <x:c r="K254" s="92"/>
      <x:c r="L254" s="92"/>
      <x:c r="M254" s="92"/>
      <x:c r="N254" s="92"/>
      <x:c r="O254" s="92"/>
      <x:c r="P254" s="92"/>
      <x:c r="Q254" s="92"/>
      <x:c r="R254" s="92"/>
      <x:c r="S254" s="92"/>
      <x:c r="T254" s="92"/>
      <x:c r="U254" s="92"/>
      <x:c r="V254" s="92"/>
      <x:c r="W254" s="92"/>
      <x:c r="X254" s="92"/>
      <x:c r="Y254" s="92"/>
      <x:c r="Z254" s="92"/>
    </x:row>
    <x:row r="255" spans="1:26">
      <x:c r="A255" s="106"/>
      <x:c r="B255" s="106"/>
      <x:c r="C255" s="106"/>
      <x:c r="D255" s="107"/>
      <x:c r="E255" s="108"/>
      <x:c r="F255" s="106"/>
      <x:c r="G255" s="106"/>
      <x:c r="H255" s="109"/>
      <x:c r="I255" s="11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</x:row>
    <x:row r="256" spans="1:26">
      <x:c r="A256" s="111"/>
      <x:c r="B256" s="111"/>
      <x:c r="C256" s="111"/>
      <x:c r="D256" s="112"/>
      <x:c r="E256" s="113"/>
      <x:c r="F256" s="111"/>
      <x:c r="G256" s="111"/>
      <x:c r="H256" s="114"/>
      <x:c r="I256" s="115"/>
      <x:c r="J256" s="92"/>
      <x:c r="K256" s="92"/>
      <x:c r="L256" s="92"/>
      <x:c r="M256" s="92"/>
      <x:c r="N256" s="92"/>
      <x:c r="O256" s="92"/>
      <x:c r="P256" s="92"/>
      <x:c r="Q256" s="92"/>
      <x:c r="R256" s="92"/>
      <x:c r="S256" s="92"/>
      <x:c r="T256" s="92"/>
      <x:c r="U256" s="92"/>
      <x:c r="V256" s="92"/>
      <x:c r="W256" s="92"/>
      <x:c r="X256" s="92"/>
      <x:c r="Y256" s="92"/>
      <x:c r="Z256" s="92"/>
    </x:row>
    <x:row r="257" spans="1:26">
      <x:c r="A257" s="106"/>
      <x:c r="B257" s="106"/>
      <x:c r="C257" s="106"/>
      <x:c r="D257" s="107"/>
      <x:c r="E257" s="108"/>
      <x:c r="F257" s="106"/>
      <x:c r="G257" s="106"/>
      <x:c r="H257" s="109"/>
      <x:c r="I257" s="11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</x:row>
    <x:row r="258" spans="1:26">
      <x:c r="A258" s="111"/>
      <x:c r="B258" s="111"/>
      <x:c r="C258" s="111"/>
      <x:c r="D258" s="112"/>
      <x:c r="E258" s="113"/>
      <x:c r="F258" s="111"/>
      <x:c r="G258" s="111"/>
      <x:c r="H258" s="114"/>
      <x:c r="I258" s="115"/>
      <x:c r="J258" s="92"/>
      <x:c r="K258" s="92"/>
      <x:c r="L258" s="92"/>
      <x:c r="M258" s="92"/>
      <x:c r="N258" s="92"/>
      <x:c r="O258" s="92"/>
      <x:c r="P258" s="92"/>
      <x:c r="Q258" s="92"/>
      <x:c r="R258" s="92"/>
      <x:c r="S258" s="92"/>
      <x:c r="T258" s="92"/>
      <x:c r="U258" s="92"/>
      <x:c r="V258" s="92"/>
      <x:c r="W258" s="92"/>
      <x:c r="X258" s="92"/>
      <x:c r="Y258" s="92"/>
      <x:c r="Z258" s="92"/>
    </x:row>
    <x:row r="259" spans="1:26">
      <x:c r="A259" s="106"/>
      <x:c r="B259" s="106"/>
      <x:c r="C259" s="106"/>
      <x:c r="D259" s="107"/>
      <x:c r="E259" s="108"/>
      <x:c r="F259" s="106"/>
      <x:c r="G259" s="106"/>
      <x:c r="H259" s="109"/>
      <x:c r="I259" s="11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</x:row>
    <x:row r="260" spans="1:26">
      <x:c r="A260" s="111"/>
      <x:c r="B260" s="111"/>
      <x:c r="C260" s="111"/>
      <x:c r="D260" s="112"/>
      <x:c r="E260" s="113"/>
      <x:c r="F260" s="111"/>
      <x:c r="G260" s="111"/>
      <x:c r="H260" s="114"/>
      <x:c r="I260" s="115"/>
      <x:c r="J260" s="92"/>
      <x:c r="K260" s="92"/>
      <x:c r="L260" s="92"/>
      <x:c r="M260" s="92"/>
      <x:c r="N260" s="92"/>
      <x:c r="O260" s="92"/>
      <x:c r="P260" s="92"/>
      <x:c r="Q260" s="92"/>
      <x:c r="R260" s="92"/>
      <x:c r="S260" s="92"/>
      <x:c r="T260" s="92"/>
      <x:c r="U260" s="92"/>
      <x:c r="V260" s="92"/>
      <x:c r="W260" s="92"/>
      <x:c r="X260" s="92"/>
      <x:c r="Y260" s="92"/>
      <x:c r="Z260" s="92"/>
    </x:row>
    <x:row r="261" spans="1:26">
      <x:c r="A261" s="106"/>
      <x:c r="B261" s="106"/>
      <x:c r="C261" s="106"/>
      <x:c r="D261" s="107"/>
      <x:c r="E261" s="108"/>
      <x:c r="F261" s="106"/>
      <x:c r="G261" s="106"/>
      <x:c r="H261" s="109"/>
      <x:c r="I261" s="11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</x:row>
    <x:row r="262" spans="1:26">
      <x:c r="A262" s="111"/>
      <x:c r="B262" s="111"/>
      <x:c r="C262" s="111"/>
      <x:c r="D262" s="112"/>
      <x:c r="E262" s="113"/>
      <x:c r="F262" s="111"/>
      <x:c r="G262" s="111"/>
      <x:c r="H262" s="114"/>
      <x:c r="I262" s="115"/>
      <x:c r="J262" s="92"/>
      <x:c r="K262" s="92"/>
      <x:c r="L262" s="92"/>
      <x:c r="M262" s="92"/>
      <x:c r="N262" s="92"/>
      <x:c r="O262" s="92"/>
      <x:c r="P262" s="92"/>
      <x:c r="Q262" s="92"/>
      <x:c r="R262" s="92"/>
      <x:c r="S262" s="92"/>
      <x:c r="T262" s="92"/>
      <x:c r="U262" s="92"/>
      <x:c r="V262" s="92"/>
      <x:c r="W262" s="92"/>
      <x:c r="X262" s="92"/>
      <x:c r="Y262" s="92"/>
      <x:c r="Z262" s="92"/>
    </x:row>
    <x:row r="263" spans="1:26">
      <x:c r="A263" s="106"/>
      <x:c r="B263" s="106"/>
      <x:c r="C263" s="106"/>
      <x:c r="D263" s="107"/>
      <x:c r="E263" s="108"/>
      <x:c r="F263" s="106"/>
      <x:c r="G263" s="106"/>
      <x:c r="H263" s="109"/>
      <x:c r="I263" s="11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</x:row>
    <x:row r="264" spans="1:26">
      <x:c r="A264" s="111"/>
      <x:c r="B264" s="111"/>
      <x:c r="C264" s="111"/>
      <x:c r="D264" s="112"/>
      <x:c r="E264" s="113"/>
      <x:c r="F264" s="111"/>
      <x:c r="G264" s="111"/>
      <x:c r="H264" s="114"/>
      <x:c r="I264" s="115"/>
      <x:c r="J264" s="92"/>
      <x:c r="K264" s="92"/>
      <x:c r="L264" s="92"/>
      <x:c r="M264" s="92"/>
      <x:c r="N264" s="92"/>
      <x:c r="O264" s="92"/>
      <x:c r="P264" s="92"/>
      <x:c r="Q264" s="92"/>
      <x:c r="R264" s="92"/>
      <x:c r="S264" s="92"/>
      <x:c r="T264" s="92"/>
      <x:c r="U264" s="92"/>
      <x:c r="V264" s="92"/>
      <x:c r="W264" s="92"/>
      <x:c r="X264" s="92"/>
      <x:c r="Y264" s="92"/>
      <x:c r="Z264" s="92"/>
    </x:row>
    <x:row r="265" spans="1:26">
      <x:c r="A265" s="106"/>
      <x:c r="B265" s="106"/>
      <x:c r="C265" s="106"/>
      <x:c r="D265" s="107"/>
      <x:c r="E265" s="108"/>
      <x:c r="F265" s="106"/>
      <x:c r="G265" s="106"/>
      <x:c r="H265" s="109"/>
      <x:c r="I265" s="11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</x:row>
    <x:row r="266" spans="1:26">
      <x:c r="A266" s="111"/>
      <x:c r="B266" s="111"/>
      <x:c r="C266" s="111"/>
      <x:c r="D266" s="112"/>
      <x:c r="E266" s="113"/>
      <x:c r="F266" s="111"/>
      <x:c r="G266" s="111"/>
      <x:c r="H266" s="114"/>
      <x:c r="I266" s="115"/>
      <x:c r="J266" s="92"/>
      <x:c r="K266" s="92"/>
      <x:c r="L266" s="92"/>
      <x:c r="M266" s="92"/>
      <x:c r="N266" s="92"/>
      <x:c r="O266" s="92"/>
      <x:c r="P266" s="92"/>
      <x:c r="Q266" s="92"/>
      <x:c r="R266" s="92"/>
      <x:c r="S266" s="92"/>
      <x:c r="T266" s="92"/>
      <x:c r="U266" s="92"/>
      <x:c r="V266" s="92"/>
      <x:c r="W266" s="92"/>
      <x:c r="X266" s="92"/>
      <x:c r="Y266" s="92"/>
      <x:c r="Z266" s="92"/>
    </x:row>
    <x:row r="267" spans="1:26">
      <x:c r="A267" s="106"/>
      <x:c r="B267" s="106"/>
      <x:c r="C267" s="106"/>
      <x:c r="D267" s="107"/>
      <x:c r="E267" s="108"/>
      <x:c r="F267" s="106"/>
      <x:c r="G267" s="106"/>
      <x:c r="H267" s="109"/>
      <x:c r="I267" s="11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</x:row>
    <x:row r="268" spans="1:26">
      <x:c r="A268" s="111"/>
      <x:c r="B268" s="111"/>
      <x:c r="C268" s="111"/>
      <x:c r="D268" s="112"/>
      <x:c r="E268" s="113"/>
      <x:c r="F268" s="111"/>
      <x:c r="G268" s="111"/>
      <x:c r="H268" s="114"/>
      <x:c r="I268" s="115"/>
      <x:c r="J268" s="92"/>
      <x:c r="K268" s="92"/>
      <x:c r="L268" s="92"/>
      <x:c r="M268" s="92"/>
      <x:c r="N268" s="92"/>
      <x:c r="O268" s="92"/>
      <x:c r="P268" s="92"/>
      <x:c r="Q268" s="92"/>
      <x:c r="R268" s="92"/>
      <x:c r="S268" s="92"/>
      <x:c r="T268" s="92"/>
      <x:c r="U268" s="92"/>
      <x:c r="V268" s="92"/>
      <x:c r="W268" s="92"/>
      <x:c r="X268" s="92"/>
      <x:c r="Y268" s="92"/>
      <x:c r="Z268" s="92"/>
    </x:row>
    <x:row r="269" spans="1:26">
      <x:c r="A269" s="106"/>
      <x:c r="B269" s="106"/>
      <x:c r="C269" s="106"/>
      <x:c r="D269" s="107"/>
      <x:c r="E269" s="108"/>
      <x:c r="F269" s="106"/>
      <x:c r="G269" s="106"/>
      <x:c r="H269" s="109"/>
      <x:c r="I269" s="11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</x:row>
    <x:row r="270" spans="1:26">
      <x:c r="A270" s="111"/>
      <x:c r="B270" s="111"/>
      <x:c r="C270" s="111"/>
      <x:c r="D270" s="112"/>
      <x:c r="E270" s="113"/>
      <x:c r="F270" s="111"/>
      <x:c r="G270" s="111"/>
      <x:c r="H270" s="114"/>
      <x:c r="I270" s="115"/>
      <x:c r="J270" s="92"/>
      <x:c r="K270" s="92"/>
      <x:c r="L270" s="92"/>
      <x:c r="M270" s="92"/>
      <x:c r="N270" s="92"/>
      <x:c r="O270" s="92"/>
      <x:c r="P270" s="92"/>
      <x:c r="Q270" s="92"/>
      <x:c r="R270" s="92"/>
      <x:c r="S270" s="92"/>
      <x:c r="T270" s="92"/>
      <x:c r="U270" s="92"/>
      <x:c r="V270" s="92"/>
      <x:c r="W270" s="92"/>
      <x:c r="X270" s="92"/>
      <x:c r="Y270" s="92"/>
      <x:c r="Z270" s="92"/>
    </x:row>
    <x:row r="271" spans="1:26">
      <x:c r="A271" s="106"/>
      <x:c r="B271" s="106"/>
      <x:c r="C271" s="106"/>
      <x:c r="D271" s="107"/>
      <x:c r="E271" s="108"/>
      <x:c r="F271" s="106"/>
      <x:c r="G271" s="106"/>
      <x:c r="H271" s="109"/>
      <x:c r="I271" s="11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</x:row>
    <x:row r="272" spans="1:26">
      <x:c r="A272" s="111"/>
      <x:c r="B272" s="111"/>
      <x:c r="C272" s="111"/>
      <x:c r="D272" s="112"/>
      <x:c r="E272" s="113"/>
      <x:c r="F272" s="111"/>
      <x:c r="G272" s="111"/>
      <x:c r="H272" s="114"/>
      <x:c r="I272" s="115"/>
      <x:c r="J272" s="92"/>
      <x:c r="K272" s="92"/>
      <x:c r="L272" s="92"/>
      <x:c r="M272" s="92"/>
      <x:c r="N272" s="92"/>
      <x:c r="O272" s="92"/>
      <x:c r="P272" s="92"/>
      <x:c r="Q272" s="92"/>
      <x:c r="R272" s="92"/>
      <x:c r="S272" s="92"/>
      <x:c r="T272" s="92"/>
      <x:c r="U272" s="92"/>
      <x:c r="V272" s="92"/>
      <x:c r="W272" s="92"/>
      <x:c r="X272" s="92"/>
      <x:c r="Y272" s="92"/>
      <x:c r="Z272" s="92"/>
    </x:row>
    <x:row r="273" spans="1:26">
      <x:c r="A273" s="106"/>
      <x:c r="B273" s="106"/>
      <x:c r="C273" s="106"/>
      <x:c r="D273" s="107"/>
      <x:c r="E273" s="108"/>
      <x:c r="F273" s="106"/>
      <x:c r="G273" s="106"/>
      <x:c r="H273" s="109"/>
      <x:c r="I273" s="11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</x:row>
    <x:row r="274" spans="1:26">
      <x:c r="A274" s="111"/>
      <x:c r="B274" s="111"/>
      <x:c r="C274" s="111"/>
      <x:c r="D274" s="112"/>
      <x:c r="E274" s="113"/>
      <x:c r="F274" s="111"/>
      <x:c r="G274" s="111"/>
      <x:c r="H274" s="114"/>
      <x:c r="I274" s="115"/>
      <x:c r="J274" s="92"/>
      <x:c r="K274" s="92"/>
      <x:c r="L274" s="92"/>
      <x:c r="M274" s="92"/>
      <x:c r="N274" s="92"/>
      <x:c r="O274" s="92"/>
      <x:c r="P274" s="92"/>
      <x:c r="Q274" s="92"/>
      <x:c r="R274" s="92"/>
      <x:c r="S274" s="92"/>
      <x:c r="T274" s="92"/>
      <x:c r="U274" s="92"/>
      <x:c r="V274" s="92"/>
      <x:c r="W274" s="92"/>
      <x:c r="X274" s="92"/>
      <x:c r="Y274" s="92"/>
      <x:c r="Z274" s="92"/>
    </x:row>
    <x:row r="275" spans="1:26">
      <x:c r="A275" s="106"/>
      <x:c r="B275" s="106"/>
      <x:c r="C275" s="106"/>
      <x:c r="D275" s="107"/>
      <x:c r="E275" s="108"/>
      <x:c r="F275" s="106"/>
      <x:c r="G275" s="106"/>
      <x:c r="H275" s="109"/>
      <x:c r="I275" s="11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</x:row>
    <x:row r="276" spans="1:26">
      <x:c r="A276" s="111"/>
      <x:c r="B276" s="111"/>
      <x:c r="C276" s="111"/>
      <x:c r="D276" s="112"/>
      <x:c r="E276" s="113"/>
      <x:c r="F276" s="111"/>
      <x:c r="G276" s="111"/>
      <x:c r="H276" s="114"/>
      <x:c r="I276" s="115"/>
      <x:c r="J276" s="92"/>
      <x:c r="K276" s="92"/>
      <x:c r="L276" s="92"/>
      <x:c r="M276" s="92"/>
      <x:c r="N276" s="92"/>
      <x:c r="O276" s="92"/>
      <x:c r="P276" s="92"/>
      <x:c r="Q276" s="92"/>
      <x:c r="R276" s="92"/>
      <x:c r="S276" s="92"/>
      <x:c r="T276" s="92"/>
      <x:c r="U276" s="92"/>
      <x:c r="V276" s="92"/>
      <x:c r="W276" s="92"/>
      <x:c r="X276" s="92"/>
      <x:c r="Y276" s="92"/>
      <x:c r="Z276" s="92"/>
    </x:row>
    <x:row r="277" spans="1:26">
      <x:c r="A277" s="106"/>
      <x:c r="B277" s="106"/>
      <x:c r="C277" s="106"/>
      <x:c r="D277" s="107"/>
      <x:c r="E277" s="108"/>
      <x:c r="F277" s="106"/>
      <x:c r="G277" s="106"/>
      <x:c r="H277" s="109"/>
      <x:c r="I277" s="11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</x:row>
    <x:row r="278" spans="1:26">
      <x:c r="A278" s="111"/>
      <x:c r="B278" s="111"/>
      <x:c r="C278" s="111"/>
      <x:c r="D278" s="112"/>
      <x:c r="E278" s="113"/>
      <x:c r="F278" s="111"/>
      <x:c r="G278" s="111"/>
      <x:c r="H278" s="114"/>
      <x:c r="I278" s="115"/>
      <x:c r="J278" s="92"/>
      <x:c r="K278" s="92"/>
      <x:c r="L278" s="92"/>
      <x:c r="M278" s="92"/>
      <x:c r="N278" s="92"/>
      <x:c r="O278" s="92"/>
      <x:c r="P278" s="92"/>
      <x:c r="Q278" s="92"/>
      <x:c r="R278" s="92"/>
      <x:c r="S278" s="92"/>
      <x:c r="T278" s="92"/>
      <x:c r="U278" s="92"/>
      <x:c r="V278" s="92"/>
      <x:c r="W278" s="92"/>
      <x:c r="X278" s="92"/>
      <x:c r="Y278" s="92"/>
      <x:c r="Z278" s="92"/>
    </x:row>
    <x:row r="279" spans="1:26">
      <x:c r="A279" s="106"/>
      <x:c r="B279" s="106"/>
      <x:c r="C279" s="106"/>
      <x:c r="D279" s="107"/>
      <x:c r="E279" s="108"/>
      <x:c r="F279" s="106"/>
      <x:c r="G279" s="106"/>
      <x:c r="H279" s="109"/>
      <x:c r="I279" s="11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</x:row>
    <x:row r="280" spans="1:26">
      <x:c r="A280" s="111"/>
      <x:c r="B280" s="111"/>
      <x:c r="C280" s="111"/>
      <x:c r="D280" s="112"/>
      <x:c r="E280" s="113"/>
      <x:c r="F280" s="111"/>
      <x:c r="G280" s="111"/>
      <x:c r="H280" s="114"/>
      <x:c r="I280" s="115"/>
      <x:c r="J280" s="92"/>
      <x:c r="K280" s="92"/>
      <x:c r="L280" s="92"/>
      <x:c r="M280" s="92"/>
      <x:c r="N280" s="92"/>
      <x:c r="O280" s="92"/>
      <x:c r="P280" s="92"/>
      <x:c r="Q280" s="92"/>
      <x:c r="R280" s="92"/>
      <x:c r="S280" s="92"/>
      <x:c r="T280" s="92"/>
      <x:c r="U280" s="92"/>
      <x:c r="V280" s="92"/>
      <x:c r="W280" s="92"/>
      <x:c r="X280" s="92"/>
      <x:c r="Y280" s="92"/>
      <x:c r="Z280" s="92"/>
    </x:row>
    <x:row r="281" spans="1:26">
      <x:c r="A281" s="106"/>
      <x:c r="B281" s="106"/>
      <x:c r="C281" s="106"/>
      <x:c r="D281" s="107"/>
      <x:c r="E281" s="108"/>
      <x:c r="F281" s="106"/>
      <x:c r="G281" s="106"/>
      <x:c r="H281" s="109"/>
      <x:c r="I281" s="11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</x:row>
    <x:row r="282" spans="1:26">
      <x:c r="A282" s="111"/>
      <x:c r="B282" s="111"/>
      <x:c r="C282" s="111"/>
      <x:c r="D282" s="112"/>
      <x:c r="E282" s="113"/>
      <x:c r="F282" s="111"/>
      <x:c r="G282" s="111"/>
      <x:c r="H282" s="114"/>
      <x:c r="I282" s="115"/>
      <x:c r="J282" s="92"/>
      <x:c r="K282" s="92"/>
      <x:c r="L282" s="92"/>
      <x:c r="M282" s="92"/>
      <x:c r="N282" s="92"/>
      <x:c r="O282" s="92"/>
      <x:c r="P282" s="92"/>
      <x:c r="Q282" s="92"/>
      <x:c r="R282" s="92"/>
      <x:c r="S282" s="92"/>
      <x:c r="T282" s="92"/>
      <x:c r="U282" s="92"/>
      <x:c r="V282" s="92"/>
      <x:c r="W282" s="92"/>
      <x:c r="X282" s="92"/>
      <x:c r="Y282" s="92"/>
      <x:c r="Z282" s="92"/>
    </x:row>
    <x:row r="283" spans="1:26">
      <x:c r="A283" s="106"/>
      <x:c r="B283" s="106"/>
      <x:c r="C283" s="106"/>
      <x:c r="D283" s="107"/>
      <x:c r="E283" s="108"/>
      <x:c r="F283" s="106"/>
      <x:c r="G283" s="106"/>
      <x:c r="H283" s="109"/>
      <x:c r="I283" s="11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</x:row>
    <x:row r="284" spans="1:26">
      <x:c r="A284" s="111"/>
      <x:c r="B284" s="111"/>
      <x:c r="C284" s="111"/>
      <x:c r="D284" s="112"/>
      <x:c r="E284" s="113"/>
      <x:c r="F284" s="111"/>
      <x:c r="G284" s="111"/>
      <x:c r="H284" s="114"/>
      <x:c r="I284" s="115"/>
      <x:c r="J284" s="92"/>
      <x:c r="K284" s="92"/>
      <x:c r="L284" s="92"/>
      <x:c r="M284" s="92"/>
      <x:c r="N284" s="92"/>
      <x:c r="O284" s="92"/>
      <x:c r="P284" s="92"/>
      <x:c r="Q284" s="92"/>
      <x:c r="R284" s="92"/>
      <x:c r="S284" s="92"/>
      <x:c r="T284" s="92"/>
      <x:c r="U284" s="92"/>
      <x:c r="V284" s="92"/>
      <x:c r="W284" s="92"/>
      <x:c r="X284" s="92"/>
      <x:c r="Y284" s="92"/>
      <x:c r="Z284" s="92"/>
    </x:row>
    <x:row r="285" spans="1:26">
      <x:c r="A285" s="106"/>
      <x:c r="B285" s="106"/>
      <x:c r="C285" s="106"/>
      <x:c r="D285" s="107"/>
      <x:c r="E285" s="108"/>
      <x:c r="F285" s="106"/>
      <x:c r="G285" s="106"/>
      <x:c r="H285" s="109"/>
      <x:c r="I285" s="11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</x:row>
    <x:row r="286" spans="1:26">
      <x:c r="A286" s="111"/>
      <x:c r="B286" s="111"/>
      <x:c r="C286" s="111"/>
      <x:c r="D286" s="112"/>
      <x:c r="E286" s="113"/>
      <x:c r="F286" s="111"/>
      <x:c r="G286" s="111"/>
      <x:c r="H286" s="114"/>
      <x:c r="I286" s="115"/>
      <x:c r="J286" s="92"/>
      <x:c r="K286" s="92"/>
      <x:c r="L286" s="92"/>
      <x:c r="M286" s="92"/>
      <x:c r="N286" s="92"/>
      <x:c r="O286" s="92"/>
      <x:c r="P286" s="92"/>
      <x:c r="Q286" s="92"/>
      <x:c r="R286" s="92"/>
      <x:c r="S286" s="92"/>
      <x:c r="T286" s="92"/>
      <x:c r="U286" s="92"/>
      <x:c r="V286" s="92"/>
      <x:c r="W286" s="92"/>
      <x:c r="X286" s="92"/>
      <x:c r="Y286" s="92"/>
      <x:c r="Z286" s="92"/>
    </x:row>
    <x:row r="287" spans="1:26">
      <x:c r="A287" s="106"/>
      <x:c r="B287" s="106"/>
      <x:c r="C287" s="106"/>
      <x:c r="D287" s="107"/>
      <x:c r="E287" s="108"/>
      <x:c r="F287" s="106"/>
      <x:c r="G287" s="106"/>
      <x:c r="H287" s="109"/>
      <x:c r="I287" s="11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</x:row>
    <x:row r="288" spans="1:26">
      <x:c r="A288" s="111"/>
      <x:c r="B288" s="111"/>
      <x:c r="C288" s="111"/>
      <x:c r="D288" s="112"/>
      <x:c r="E288" s="113"/>
      <x:c r="F288" s="111"/>
      <x:c r="G288" s="111"/>
      <x:c r="H288" s="114"/>
      <x:c r="I288" s="115"/>
      <x:c r="J288" s="92"/>
      <x:c r="K288" s="92"/>
      <x:c r="L288" s="92"/>
      <x:c r="M288" s="92"/>
      <x:c r="N288" s="92"/>
      <x:c r="O288" s="92"/>
      <x:c r="P288" s="92"/>
      <x:c r="Q288" s="92"/>
      <x:c r="R288" s="92"/>
      <x:c r="S288" s="92"/>
      <x:c r="T288" s="92"/>
      <x:c r="U288" s="92"/>
      <x:c r="V288" s="92"/>
      <x:c r="W288" s="92"/>
      <x:c r="X288" s="92"/>
      <x:c r="Y288" s="92"/>
      <x:c r="Z288" s="92"/>
    </x:row>
    <x:row r="289" spans="1:26">
      <x:c r="A289" s="106"/>
      <x:c r="B289" s="106"/>
      <x:c r="C289" s="106"/>
      <x:c r="D289" s="107"/>
      <x:c r="E289" s="108"/>
      <x:c r="F289" s="106"/>
      <x:c r="G289" s="106"/>
      <x:c r="H289" s="109"/>
      <x:c r="I289" s="11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</x:row>
    <x:row r="290" spans="1:26">
      <x:c r="A290" s="111"/>
      <x:c r="B290" s="111"/>
      <x:c r="C290" s="111"/>
      <x:c r="D290" s="112"/>
      <x:c r="E290" s="113"/>
      <x:c r="F290" s="111"/>
      <x:c r="G290" s="111"/>
      <x:c r="H290" s="114"/>
      <x:c r="I290" s="115"/>
      <x:c r="J290" s="92"/>
      <x:c r="K290" s="92"/>
      <x:c r="L290" s="92"/>
      <x:c r="M290" s="92"/>
      <x:c r="N290" s="92"/>
      <x:c r="O290" s="92"/>
      <x:c r="P290" s="92"/>
      <x:c r="Q290" s="92"/>
      <x:c r="R290" s="92"/>
      <x:c r="S290" s="92"/>
      <x:c r="T290" s="92"/>
      <x:c r="U290" s="92"/>
      <x:c r="V290" s="92"/>
      <x:c r="W290" s="92"/>
      <x:c r="X290" s="92"/>
      <x:c r="Y290" s="92"/>
      <x:c r="Z290" s="92"/>
    </x:row>
    <x:row r="291" spans="1:26">
      <x:c r="A291" s="106"/>
      <x:c r="B291" s="106"/>
      <x:c r="C291" s="106"/>
      <x:c r="D291" s="107"/>
      <x:c r="E291" s="108"/>
      <x:c r="F291" s="106"/>
      <x:c r="G291" s="106"/>
      <x:c r="H291" s="109"/>
      <x:c r="I291" s="11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</x:row>
    <x:row r="292" spans="1:26">
      <x:c r="A292" s="111"/>
      <x:c r="B292" s="111"/>
      <x:c r="C292" s="111"/>
      <x:c r="D292" s="112"/>
      <x:c r="E292" s="113"/>
      <x:c r="F292" s="111"/>
      <x:c r="G292" s="111"/>
      <x:c r="H292" s="114"/>
      <x:c r="I292" s="115"/>
      <x:c r="J292" s="92"/>
      <x:c r="K292" s="92"/>
      <x:c r="L292" s="92"/>
      <x:c r="M292" s="92"/>
      <x:c r="N292" s="92"/>
      <x:c r="O292" s="92"/>
      <x:c r="P292" s="92"/>
      <x:c r="Q292" s="92"/>
      <x:c r="R292" s="92"/>
      <x:c r="S292" s="92"/>
      <x:c r="T292" s="92"/>
      <x:c r="U292" s="92"/>
      <x:c r="V292" s="92"/>
      <x:c r="W292" s="92"/>
      <x:c r="X292" s="92"/>
      <x:c r="Y292" s="92"/>
      <x:c r="Z292" s="92"/>
    </x:row>
    <x:row r="293" spans="1:26">
      <x:c r="A293" s="106"/>
      <x:c r="B293" s="106"/>
      <x:c r="C293" s="106"/>
      <x:c r="D293" s="107"/>
      <x:c r="E293" s="108"/>
      <x:c r="F293" s="106"/>
      <x:c r="G293" s="106"/>
      <x:c r="H293" s="109"/>
      <x:c r="I293" s="11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</x:row>
    <x:row r="294" spans="1:26">
      <x:c r="A294" s="111"/>
      <x:c r="B294" s="111"/>
      <x:c r="C294" s="111"/>
      <x:c r="D294" s="112"/>
      <x:c r="E294" s="113"/>
      <x:c r="F294" s="111"/>
      <x:c r="G294" s="111"/>
      <x:c r="H294" s="114"/>
      <x:c r="I294" s="115"/>
      <x:c r="J294" s="92"/>
      <x:c r="K294" s="92"/>
      <x:c r="L294" s="92"/>
      <x:c r="M294" s="92"/>
      <x:c r="N294" s="92"/>
      <x:c r="O294" s="92"/>
      <x:c r="P294" s="92"/>
      <x:c r="Q294" s="92"/>
      <x:c r="R294" s="92"/>
      <x:c r="S294" s="92"/>
      <x:c r="T294" s="92"/>
      <x:c r="U294" s="92"/>
      <x:c r="V294" s="92"/>
      <x:c r="W294" s="92"/>
      <x:c r="X294" s="92"/>
      <x:c r="Y294" s="92"/>
      <x:c r="Z294" s="92"/>
    </x:row>
    <x:row r="295" spans="1:26">
      <x:c r="A295" s="106"/>
      <x:c r="B295" s="106"/>
      <x:c r="C295" s="106"/>
      <x:c r="D295" s="107"/>
      <x:c r="E295" s="108"/>
      <x:c r="F295" s="106"/>
      <x:c r="G295" s="106"/>
      <x:c r="H295" s="109"/>
      <x:c r="I295" s="11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</x:row>
    <x:row r="296" spans="1:26">
      <x:c r="A296" s="111"/>
      <x:c r="B296" s="111"/>
      <x:c r="C296" s="111"/>
      <x:c r="D296" s="112"/>
      <x:c r="E296" s="113"/>
      <x:c r="F296" s="111"/>
      <x:c r="G296" s="111"/>
      <x:c r="H296" s="114"/>
      <x:c r="I296" s="115"/>
      <x:c r="J296" s="92"/>
      <x:c r="K296" s="92"/>
      <x:c r="L296" s="92"/>
      <x:c r="M296" s="92"/>
      <x:c r="N296" s="92"/>
      <x:c r="O296" s="92"/>
      <x:c r="P296" s="92"/>
      <x:c r="Q296" s="92"/>
      <x:c r="R296" s="92"/>
      <x:c r="S296" s="92"/>
      <x:c r="T296" s="92"/>
      <x:c r="U296" s="92"/>
      <x:c r="V296" s="92"/>
      <x:c r="W296" s="92"/>
      <x:c r="X296" s="92"/>
      <x:c r="Y296" s="92"/>
      <x:c r="Z296" s="92"/>
    </x:row>
    <x:row r="297" spans="1:26">
      <x:c r="A297" s="106"/>
      <x:c r="B297" s="106"/>
      <x:c r="C297" s="106"/>
      <x:c r="D297" s="107"/>
      <x:c r="E297" s="108"/>
      <x:c r="F297" s="106"/>
      <x:c r="G297" s="106"/>
      <x:c r="H297" s="109"/>
      <x:c r="I297" s="11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</x:row>
    <x:row r="298" spans="1:26">
      <x:c r="A298" s="111"/>
      <x:c r="B298" s="111"/>
      <x:c r="C298" s="111"/>
      <x:c r="D298" s="112"/>
      <x:c r="E298" s="113"/>
      <x:c r="F298" s="111"/>
      <x:c r="G298" s="111"/>
      <x:c r="H298" s="114"/>
      <x:c r="I298" s="115"/>
      <x:c r="J298" s="92"/>
      <x:c r="K298" s="92"/>
      <x:c r="L298" s="92"/>
      <x:c r="M298" s="92"/>
      <x:c r="N298" s="92"/>
      <x:c r="O298" s="92"/>
      <x:c r="P298" s="92"/>
      <x:c r="Q298" s="92"/>
      <x:c r="R298" s="92"/>
      <x:c r="S298" s="92"/>
      <x:c r="T298" s="92"/>
      <x:c r="U298" s="92"/>
      <x:c r="V298" s="92"/>
      <x:c r="W298" s="92"/>
      <x:c r="X298" s="92"/>
      <x:c r="Y298" s="92"/>
      <x:c r="Z298" s="92"/>
    </x:row>
    <x:row r="299" spans="1:26">
      <x:c r="A299" s="106"/>
      <x:c r="B299" s="106"/>
      <x:c r="C299" s="106"/>
      <x:c r="D299" s="107"/>
      <x:c r="E299" s="108"/>
      <x:c r="F299" s="106"/>
      <x:c r="G299" s="106"/>
      <x:c r="H299" s="109"/>
      <x:c r="I299" s="11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</x:row>
    <x:row r="300" spans="1:26">
      <x:c r="A300" s="111"/>
      <x:c r="B300" s="111"/>
      <x:c r="C300" s="111"/>
      <x:c r="D300" s="112"/>
      <x:c r="E300" s="113"/>
      <x:c r="F300" s="111"/>
      <x:c r="G300" s="111"/>
      <x:c r="H300" s="114"/>
      <x:c r="I300" s="115"/>
      <x:c r="J300" s="92"/>
      <x:c r="K300" s="92"/>
      <x:c r="L300" s="92"/>
      <x:c r="M300" s="92"/>
      <x:c r="N300" s="92"/>
      <x:c r="O300" s="92"/>
      <x:c r="P300" s="92"/>
      <x:c r="Q300" s="92"/>
      <x:c r="R300" s="92"/>
      <x:c r="S300" s="92"/>
      <x:c r="T300" s="92"/>
      <x:c r="U300" s="92"/>
      <x:c r="V300" s="92"/>
      <x:c r="W300" s="92"/>
      <x:c r="X300" s="92"/>
      <x:c r="Y300" s="92"/>
      <x:c r="Z300" s="92"/>
    </x:row>
    <x:row r="301" spans="1:26">
      <x:c r="A301" s="106"/>
      <x:c r="B301" s="106"/>
      <x:c r="C301" s="106"/>
      <x:c r="D301" s="107"/>
      <x:c r="E301" s="108"/>
      <x:c r="F301" s="106"/>
      <x:c r="G301" s="106"/>
      <x:c r="H301" s="109"/>
      <x:c r="I301" s="11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</x:row>
    <x:row r="302" spans="1:26">
      <x:c r="A302" s="111"/>
      <x:c r="B302" s="111"/>
      <x:c r="C302" s="111"/>
      <x:c r="D302" s="112"/>
      <x:c r="E302" s="113"/>
      <x:c r="F302" s="111"/>
      <x:c r="G302" s="111"/>
      <x:c r="H302" s="114"/>
      <x:c r="I302" s="115"/>
      <x:c r="J302" s="92"/>
      <x:c r="K302" s="92"/>
      <x:c r="L302" s="92"/>
      <x:c r="M302" s="92"/>
      <x:c r="N302" s="92"/>
      <x:c r="O302" s="92"/>
      <x:c r="P302" s="92"/>
      <x:c r="Q302" s="92"/>
      <x:c r="R302" s="92"/>
      <x:c r="S302" s="92"/>
      <x:c r="T302" s="92"/>
      <x:c r="U302" s="92"/>
      <x:c r="V302" s="92"/>
      <x:c r="W302" s="92"/>
      <x:c r="X302" s="92"/>
      <x:c r="Y302" s="92"/>
      <x:c r="Z302" s="92"/>
    </x:row>
    <x:row r="303" spans="1:26">
      <x:c r="A303" s="106"/>
      <x:c r="B303" s="106"/>
      <x:c r="C303" s="106"/>
      <x:c r="D303" s="107"/>
      <x:c r="E303" s="108"/>
      <x:c r="F303" s="106"/>
      <x:c r="G303" s="106"/>
      <x:c r="H303" s="109"/>
      <x:c r="I303" s="11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</x:row>
    <x:row r="304" spans="1:26">
      <x:c r="A304" s="111"/>
      <x:c r="B304" s="111"/>
      <x:c r="C304" s="111"/>
      <x:c r="D304" s="112"/>
      <x:c r="E304" s="113"/>
      <x:c r="F304" s="111"/>
      <x:c r="G304" s="111"/>
      <x:c r="H304" s="114"/>
      <x:c r="I304" s="115"/>
      <x:c r="J304" s="92"/>
      <x:c r="K304" s="92"/>
      <x:c r="L304" s="92"/>
      <x:c r="M304" s="92"/>
      <x:c r="N304" s="92"/>
      <x:c r="O304" s="92"/>
      <x:c r="P304" s="92"/>
      <x:c r="Q304" s="92"/>
      <x:c r="R304" s="92"/>
      <x:c r="S304" s="92"/>
      <x:c r="T304" s="92"/>
      <x:c r="U304" s="92"/>
      <x:c r="V304" s="92"/>
      <x:c r="W304" s="92"/>
      <x:c r="X304" s="92"/>
      <x:c r="Y304" s="92"/>
      <x:c r="Z304" s="92"/>
    </x:row>
    <x:row r="305" spans="1:26">
      <x:c r="A305" s="106"/>
      <x:c r="B305" s="106"/>
      <x:c r="C305" s="106"/>
      <x:c r="D305" s="107"/>
      <x:c r="E305" s="108"/>
      <x:c r="F305" s="106"/>
      <x:c r="G305" s="106"/>
      <x:c r="H305" s="109"/>
      <x:c r="I305" s="11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</x:row>
    <x:row r="306" spans="1:26">
      <x:c r="A306" s="111"/>
      <x:c r="B306" s="111"/>
      <x:c r="C306" s="111"/>
      <x:c r="D306" s="112"/>
      <x:c r="E306" s="113"/>
      <x:c r="F306" s="111"/>
      <x:c r="G306" s="111"/>
      <x:c r="H306" s="114"/>
      <x:c r="I306" s="115"/>
      <x:c r="J306" s="92"/>
      <x:c r="K306" s="92"/>
      <x:c r="L306" s="92"/>
      <x:c r="M306" s="92"/>
      <x:c r="N306" s="92"/>
      <x:c r="O306" s="92"/>
      <x:c r="P306" s="92"/>
      <x:c r="Q306" s="92"/>
      <x:c r="R306" s="92"/>
      <x:c r="S306" s="92"/>
      <x:c r="T306" s="92"/>
      <x:c r="U306" s="92"/>
      <x:c r="V306" s="92"/>
      <x:c r="W306" s="92"/>
      <x:c r="X306" s="92"/>
      <x:c r="Y306" s="92"/>
      <x:c r="Z306" s="92"/>
    </x:row>
    <x:row r="307" spans="1:26">
      <x:c r="A307" s="106"/>
      <x:c r="B307" s="106"/>
      <x:c r="C307" s="106"/>
      <x:c r="D307" s="107"/>
      <x:c r="E307" s="108"/>
      <x:c r="F307" s="106"/>
      <x:c r="G307" s="106"/>
      <x:c r="H307" s="109"/>
      <x:c r="I307" s="11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</x:row>
    <x:row r="308" spans="1:26">
      <x:c r="A308" s="111"/>
      <x:c r="B308" s="111"/>
      <x:c r="C308" s="111"/>
      <x:c r="D308" s="112"/>
      <x:c r="E308" s="113"/>
      <x:c r="F308" s="111"/>
      <x:c r="G308" s="111"/>
      <x:c r="H308" s="114"/>
      <x:c r="I308" s="115"/>
      <x:c r="J308" s="92"/>
      <x:c r="K308" s="92"/>
      <x:c r="L308" s="92"/>
      <x:c r="M308" s="92"/>
      <x:c r="N308" s="92"/>
      <x:c r="O308" s="92"/>
      <x:c r="P308" s="92"/>
      <x:c r="Q308" s="92"/>
      <x:c r="R308" s="92"/>
      <x:c r="S308" s="92"/>
      <x:c r="T308" s="92"/>
      <x:c r="U308" s="92"/>
      <x:c r="V308" s="92"/>
      <x:c r="W308" s="92"/>
      <x:c r="X308" s="92"/>
      <x:c r="Y308" s="92"/>
      <x:c r="Z308" s="92"/>
    </x:row>
    <x:row r="309" spans="1:26">
      <x:c r="A309" s="106"/>
      <x:c r="B309" s="106"/>
      <x:c r="C309" s="106"/>
      <x:c r="D309" s="107"/>
      <x:c r="E309" s="108"/>
      <x:c r="F309" s="106"/>
      <x:c r="G309" s="106"/>
      <x:c r="H309" s="109"/>
      <x:c r="I309" s="11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</x:row>
    <x:row r="310" spans="1:26">
      <x:c r="A310" s="111"/>
      <x:c r="B310" s="111"/>
      <x:c r="C310" s="111"/>
      <x:c r="D310" s="112"/>
      <x:c r="E310" s="113"/>
      <x:c r="F310" s="111"/>
      <x:c r="G310" s="111"/>
      <x:c r="H310" s="114"/>
      <x:c r="I310" s="115"/>
      <x:c r="J310" s="92"/>
      <x:c r="K310" s="92"/>
      <x:c r="L310" s="92"/>
      <x:c r="M310" s="92"/>
      <x:c r="N310" s="92"/>
      <x:c r="O310" s="92"/>
      <x:c r="P310" s="92"/>
      <x:c r="Q310" s="92"/>
      <x:c r="R310" s="92"/>
      <x:c r="S310" s="92"/>
      <x:c r="T310" s="92"/>
      <x:c r="U310" s="92"/>
      <x:c r="V310" s="92"/>
      <x:c r="W310" s="92"/>
      <x:c r="X310" s="92"/>
      <x:c r="Y310" s="92"/>
      <x:c r="Z310" s="92"/>
    </x:row>
    <x:row r="311" spans="1:26">
      <x:c r="A311" s="106"/>
      <x:c r="B311" s="106"/>
      <x:c r="C311" s="106"/>
      <x:c r="D311" s="107"/>
      <x:c r="E311" s="108"/>
      <x:c r="F311" s="106"/>
      <x:c r="G311" s="106"/>
      <x:c r="H311" s="109"/>
      <x:c r="I311" s="11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</x:row>
    <x:row r="312" spans="1:26">
      <x:c r="A312" s="111"/>
      <x:c r="B312" s="111"/>
      <x:c r="C312" s="111"/>
      <x:c r="D312" s="112"/>
      <x:c r="E312" s="113"/>
      <x:c r="F312" s="111"/>
      <x:c r="G312" s="111"/>
      <x:c r="H312" s="114"/>
      <x:c r="I312" s="115"/>
      <x:c r="J312" s="92"/>
      <x:c r="K312" s="92"/>
      <x:c r="L312" s="92"/>
      <x:c r="M312" s="92"/>
      <x:c r="N312" s="92"/>
      <x:c r="O312" s="92"/>
      <x:c r="P312" s="92"/>
      <x:c r="Q312" s="92"/>
      <x:c r="R312" s="92"/>
      <x:c r="S312" s="92"/>
      <x:c r="T312" s="92"/>
      <x:c r="U312" s="92"/>
      <x:c r="V312" s="92"/>
      <x:c r="W312" s="92"/>
      <x:c r="X312" s="92"/>
      <x:c r="Y312" s="92"/>
      <x:c r="Z312" s="92"/>
    </x:row>
    <x:row r="313" spans="1:26">
      <x:c r="A313" s="106"/>
      <x:c r="B313" s="106"/>
      <x:c r="C313" s="106"/>
      <x:c r="D313" s="107"/>
      <x:c r="E313" s="108"/>
      <x:c r="F313" s="106"/>
      <x:c r="G313" s="106"/>
      <x:c r="H313" s="109"/>
      <x:c r="I313" s="11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</x:row>
    <x:row r="314" spans="1:26">
      <x:c r="A314" s="111"/>
      <x:c r="B314" s="111"/>
      <x:c r="C314" s="111"/>
      <x:c r="D314" s="112"/>
      <x:c r="E314" s="113"/>
      <x:c r="F314" s="111"/>
      <x:c r="G314" s="111"/>
      <x:c r="H314" s="114"/>
      <x:c r="I314" s="115"/>
      <x:c r="J314" s="92"/>
      <x:c r="K314" s="92"/>
      <x:c r="L314" s="92"/>
      <x:c r="M314" s="92"/>
      <x:c r="N314" s="92"/>
      <x:c r="O314" s="92"/>
      <x:c r="P314" s="92"/>
      <x:c r="Q314" s="92"/>
      <x:c r="R314" s="92"/>
      <x:c r="S314" s="92"/>
      <x:c r="T314" s="92"/>
      <x:c r="U314" s="92"/>
      <x:c r="V314" s="92"/>
      <x:c r="W314" s="92"/>
      <x:c r="X314" s="92"/>
      <x:c r="Y314" s="92"/>
      <x:c r="Z314" s="92"/>
    </x:row>
    <x:row r="315" spans="1:26">
      <x:c r="A315" s="106"/>
      <x:c r="B315" s="106"/>
      <x:c r="C315" s="106"/>
      <x:c r="D315" s="107"/>
      <x:c r="E315" s="108"/>
      <x:c r="F315" s="106"/>
      <x:c r="G315" s="106"/>
      <x:c r="H315" s="109"/>
      <x:c r="I315" s="11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</x:row>
    <x:row r="316" spans="1:26">
      <x:c r="A316" s="111"/>
      <x:c r="B316" s="111"/>
      <x:c r="C316" s="111"/>
      <x:c r="D316" s="112"/>
      <x:c r="E316" s="113"/>
      <x:c r="F316" s="111"/>
      <x:c r="G316" s="111"/>
      <x:c r="H316" s="114"/>
      <x:c r="I316" s="115"/>
      <x:c r="J316" s="92"/>
      <x:c r="K316" s="92"/>
      <x:c r="L316" s="92"/>
      <x:c r="M316" s="92"/>
      <x:c r="N316" s="92"/>
      <x:c r="O316" s="92"/>
      <x:c r="P316" s="92"/>
      <x:c r="Q316" s="92"/>
      <x:c r="R316" s="92"/>
      <x:c r="S316" s="92"/>
      <x:c r="T316" s="92"/>
      <x:c r="U316" s="92"/>
      <x:c r="V316" s="92"/>
      <x:c r="W316" s="92"/>
      <x:c r="X316" s="92"/>
      <x:c r="Y316" s="92"/>
      <x:c r="Z316" s="92"/>
    </x:row>
    <x:row r="317" spans="1:26">
      <x:c r="A317" s="106"/>
      <x:c r="B317" s="106"/>
      <x:c r="C317" s="106"/>
      <x:c r="D317" s="107"/>
      <x:c r="E317" s="108"/>
      <x:c r="F317" s="106"/>
      <x:c r="G317" s="106"/>
      <x:c r="H317" s="109"/>
      <x:c r="I317" s="11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</x:row>
    <x:row r="318" spans="1:26">
      <x:c r="A318" s="111"/>
      <x:c r="B318" s="111"/>
      <x:c r="C318" s="111"/>
      <x:c r="D318" s="112"/>
      <x:c r="E318" s="113"/>
      <x:c r="F318" s="111"/>
      <x:c r="G318" s="111"/>
      <x:c r="H318" s="114"/>
      <x:c r="I318" s="115"/>
      <x:c r="J318" s="92"/>
      <x:c r="K318" s="92"/>
      <x:c r="L318" s="92"/>
      <x:c r="M318" s="92"/>
      <x:c r="N318" s="92"/>
      <x:c r="O318" s="92"/>
      <x:c r="P318" s="92"/>
      <x:c r="Q318" s="92"/>
      <x:c r="R318" s="92"/>
      <x:c r="S318" s="92"/>
      <x:c r="T318" s="92"/>
      <x:c r="U318" s="92"/>
      <x:c r="V318" s="92"/>
      <x:c r="W318" s="92"/>
      <x:c r="X318" s="92"/>
      <x:c r="Y318" s="92"/>
      <x:c r="Z318" s="92"/>
    </x:row>
    <x:row r="319" spans="1:26">
      <x:c r="A319" s="106"/>
      <x:c r="B319" s="106"/>
      <x:c r="C319" s="106"/>
      <x:c r="D319" s="107"/>
      <x:c r="E319" s="108"/>
      <x:c r="F319" s="106"/>
      <x:c r="G319" s="106"/>
      <x:c r="H319" s="109"/>
      <x:c r="I319" s="11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</x:row>
    <x:row r="320" spans="1:26">
      <x:c r="A320" s="111"/>
      <x:c r="B320" s="111"/>
      <x:c r="C320" s="111"/>
      <x:c r="D320" s="112"/>
      <x:c r="E320" s="113"/>
      <x:c r="F320" s="111"/>
      <x:c r="G320" s="111"/>
      <x:c r="H320" s="114"/>
      <x:c r="I320" s="115"/>
      <x:c r="J320" s="92"/>
      <x:c r="K320" s="92"/>
      <x:c r="L320" s="92"/>
      <x:c r="M320" s="92"/>
      <x:c r="N320" s="92"/>
      <x:c r="O320" s="92"/>
      <x:c r="P320" s="92"/>
      <x:c r="Q320" s="92"/>
      <x:c r="R320" s="92"/>
      <x:c r="S320" s="92"/>
      <x:c r="T320" s="92"/>
      <x:c r="U320" s="92"/>
      <x:c r="V320" s="92"/>
      <x:c r="W320" s="92"/>
      <x:c r="X320" s="92"/>
      <x:c r="Y320" s="92"/>
      <x:c r="Z320" s="92"/>
    </x:row>
    <x:row r="321" spans="1:26">
      <x:c r="A321" s="106"/>
      <x:c r="B321" s="106"/>
      <x:c r="C321" s="106"/>
      <x:c r="D321" s="107"/>
      <x:c r="E321" s="108"/>
      <x:c r="F321" s="106"/>
      <x:c r="G321" s="106"/>
      <x:c r="H321" s="109"/>
      <x:c r="I321" s="11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</x:row>
    <x:row r="322" spans="1:26">
      <x:c r="A322" s="111"/>
      <x:c r="B322" s="111"/>
      <x:c r="C322" s="111"/>
      <x:c r="D322" s="112"/>
      <x:c r="E322" s="113"/>
      <x:c r="F322" s="111"/>
      <x:c r="G322" s="111"/>
      <x:c r="H322" s="114"/>
      <x:c r="I322" s="115"/>
      <x:c r="J322" s="92"/>
      <x:c r="K322" s="92"/>
      <x:c r="L322" s="92"/>
      <x:c r="M322" s="92"/>
      <x:c r="N322" s="92"/>
      <x:c r="O322" s="92"/>
      <x:c r="P322" s="92"/>
      <x:c r="Q322" s="92"/>
      <x:c r="R322" s="92"/>
      <x:c r="S322" s="92"/>
      <x:c r="T322" s="92"/>
      <x:c r="U322" s="92"/>
      <x:c r="V322" s="92"/>
      <x:c r="W322" s="92"/>
      <x:c r="X322" s="92"/>
      <x:c r="Y322" s="92"/>
      <x:c r="Z322" s="92"/>
    </x:row>
    <x:row r="323" spans="1:26">
      <x:c r="A323" s="106"/>
      <x:c r="B323" s="106"/>
      <x:c r="C323" s="106"/>
      <x:c r="D323" s="107"/>
      <x:c r="E323" s="108"/>
      <x:c r="F323" s="106"/>
      <x:c r="G323" s="106"/>
      <x:c r="H323" s="109"/>
      <x:c r="I323" s="11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</x:row>
    <x:row r="324" spans="1:26">
      <x:c r="A324" s="111"/>
      <x:c r="B324" s="111"/>
      <x:c r="C324" s="111"/>
      <x:c r="D324" s="112"/>
      <x:c r="E324" s="113"/>
      <x:c r="F324" s="111"/>
      <x:c r="G324" s="111"/>
      <x:c r="H324" s="114"/>
      <x:c r="I324" s="115"/>
      <x:c r="J324" s="92"/>
      <x:c r="K324" s="92"/>
      <x:c r="L324" s="92"/>
      <x:c r="M324" s="92"/>
      <x:c r="N324" s="92"/>
      <x:c r="O324" s="92"/>
      <x:c r="P324" s="92"/>
      <x:c r="Q324" s="92"/>
      <x:c r="R324" s="92"/>
      <x:c r="S324" s="92"/>
      <x:c r="T324" s="92"/>
      <x:c r="U324" s="92"/>
      <x:c r="V324" s="92"/>
      <x:c r="W324" s="92"/>
      <x:c r="X324" s="92"/>
      <x:c r="Y324" s="92"/>
      <x:c r="Z324" s="92"/>
    </x:row>
    <x:row r="325" spans="1:26">
      <x:c r="A325" s="106"/>
      <x:c r="B325" s="106"/>
      <x:c r="C325" s="106"/>
      <x:c r="D325" s="107"/>
      <x:c r="E325" s="108"/>
      <x:c r="F325" s="106"/>
      <x:c r="G325" s="106"/>
      <x:c r="H325" s="109"/>
      <x:c r="I325" s="11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</x:row>
    <x:row r="326" spans="1:26">
      <x:c r="A326" s="111"/>
      <x:c r="B326" s="111"/>
      <x:c r="C326" s="111"/>
      <x:c r="D326" s="112"/>
      <x:c r="E326" s="113"/>
      <x:c r="F326" s="111"/>
      <x:c r="G326" s="111"/>
      <x:c r="H326" s="114"/>
      <x:c r="I326" s="115"/>
      <x:c r="J326" s="92"/>
      <x:c r="K326" s="92"/>
      <x:c r="L326" s="92"/>
      <x:c r="M326" s="92"/>
      <x:c r="N326" s="92"/>
      <x:c r="O326" s="92"/>
      <x:c r="P326" s="92"/>
      <x:c r="Q326" s="92"/>
      <x:c r="R326" s="92"/>
      <x:c r="S326" s="92"/>
      <x:c r="T326" s="92"/>
      <x:c r="U326" s="92"/>
      <x:c r="V326" s="92"/>
      <x:c r="W326" s="92"/>
      <x:c r="X326" s="92"/>
      <x:c r="Y326" s="92"/>
      <x:c r="Z326" s="92"/>
    </x:row>
    <x:row r="327" spans="1:26">
      <x:c r="A327" s="106"/>
      <x:c r="B327" s="106"/>
      <x:c r="C327" s="106"/>
      <x:c r="D327" s="107"/>
      <x:c r="E327" s="108"/>
      <x:c r="F327" s="106"/>
      <x:c r="G327" s="106"/>
      <x:c r="H327" s="109"/>
      <x:c r="I327" s="11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</x:row>
    <x:row r="328" spans="1:26">
      <x:c r="A328" s="111"/>
      <x:c r="B328" s="111"/>
      <x:c r="C328" s="111"/>
      <x:c r="D328" s="112"/>
      <x:c r="E328" s="113"/>
      <x:c r="F328" s="111"/>
      <x:c r="G328" s="111"/>
      <x:c r="H328" s="114"/>
      <x:c r="I328" s="115"/>
      <x:c r="J328" s="92"/>
      <x:c r="K328" s="92"/>
      <x:c r="L328" s="92"/>
      <x:c r="M328" s="92"/>
      <x:c r="N328" s="92"/>
      <x:c r="O328" s="92"/>
      <x:c r="P328" s="92"/>
      <x:c r="Q328" s="92"/>
      <x:c r="R328" s="92"/>
      <x:c r="S328" s="92"/>
      <x:c r="T328" s="92"/>
      <x:c r="U328" s="92"/>
      <x:c r="V328" s="92"/>
      <x:c r="W328" s="92"/>
      <x:c r="X328" s="92"/>
      <x:c r="Y328" s="92"/>
      <x:c r="Z328" s="92"/>
    </x:row>
    <x:row r="329" spans="1:26">
      <x:c r="A329" s="106"/>
      <x:c r="B329" s="106"/>
      <x:c r="C329" s="106"/>
      <x:c r="D329" s="107"/>
      <x:c r="E329" s="108"/>
      <x:c r="F329" s="106"/>
      <x:c r="G329" s="106"/>
      <x:c r="H329" s="109"/>
      <x:c r="I329" s="11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</x:row>
    <x:row r="330" spans="1:26">
      <x:c r="A330" s="111"/>
      <x:c r="B330" s="111"/>
      <x:c r="C330" s="111"/>
      <x:c r="D330" s="112"/>
      <x:c r="E330" s="113"/>
      <x:c r="F330" s="111"/>
      <x:c r="G330" s="111"/>
      <x:c r="H330" s="114"/>
      <x:c r="I330" s="115"/>
      <x:c r="J330" s="92"/>
      <x:c r="K330" s="92"/>
      <x:c r="L330" s="92"/>
      <x:c r="M330" s="92"/>
      <x:c r="N330" s="92"/>
      <x:c r="O330" s="92"/>
      <x:c r="P330" s="92"/>
      <x:c r="Q330" s="92"/>
      <x:c r="R330" s="92"/>
      <x:c r="S330" s="92"/>
      <x:c r="T330" s="92"/>
      <x:c r="U330" s="92"/>
      <x:c r="V330" s="92"/>
      <x:c r="W330" s="92"/>
      <x:c r="X330" s="92"/>
      <x:c r="Y330" s="92"/>
      <x:c r="Z330" s="92"/>
    </x:row>
    <x:row r="331" spans="1:26">
      <x:c r="A331" s="106"/>
      <x:c r="B331" s="106"/>
      <x:c r="C331" s="106"/>
      <x:c r="D331" s="107"/>
      <x:c r="E331" s="108"/>
      <x:c r="F331" s="106"/>
      <x:c r="G331" s="106"/>
      <x:c r="H331" s="109"/>
      <x:c r="I331" s="11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</x:row>
    <x:row r="332" spans="1:26">
      <x:c r="A332" s="111"/>
      <x:c r="B332" s="111"/>
      <x:c r="C332" s="111"/>
      <x:c r="D332" s="112"/>
      <x:c r="E332" s="113"/>
      <x:c r="F332" s="111"/>
      <x:c r="G332" s="111"/>
      <x:c r="H332" s="114"/>
      <x:c r="I332" s="115"/>
      <x:c r="J332" s="92"/>
      <x:c r="K332" s="92"/>
      <x:c r="L332" s="92"/>
      <x:c r="M332" s="92"/>
      <x:c r="N332" s="92"/>
      <x:c r="O332" s="92"/>
      <x:c r="P332" s="92"/>
      <x:c r="Q332" s="92"/>
      <x:c r="R332" s="92"/>
      <x:c r="S332" s="92"/>
      <x:c r="T332" s="92"/>
      <x:c r="U332" s="92"/>
      <x:c r="V332" s="92"/>
      <x:c r="W332" s="92"/>
      <x:c r="X332" s="92"/>
      <x:c r="Y332" s="92"/>
      <x:c r="Z332" s="92"/>
    </x:row>
    <x:row r="333" spans="1:26">
      <x:c r="A333" s="106"/>
      <x:c r="B333" s="106"/>
      <x:c r="C333" s="106"/>
      <x:c r="D333" s="107"/>
      <x:c r="E333" s="108"/>
      <x:c r="F333" s="106"/>
      <x:c r="G333" s="106"/>
      <x:c r="H333" s="109"/>
      <x:c r="I333" s="11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</x:row>
    <x:row r="334" spans="1:26">
      <x:c r="A334" s="111"/>
      <x:c r="B334" s="111"/>
      <x:c r="C334" s="111"/>
      <x:c r="D334" s="112"/>
      <x:c r="E334" s="113"/>
      <x:c r="F334" s="111"/>
      <x:c r="G334" s="111"/>
      <x:c r="H334" s="114"/>
      <x:c r="I334" s="115"/>
      <x:c r="J334" s="92"/>
      <x:c r="K334" s="92"/>
      <x:c r="L334" s="92"/>
      <x:c r="M334" s="92"/>
      <x:c r="N334" s="92"/>
      <x:c r="O334" s="92"/>
      <x:c r="P334" s="92"/>
      <x:c r="Q334" s="92"/>
      <x:c r="R334" s="92"/>
      <x:c r="S334" s="92"/>
      <x:c r="T334" s="92"/>
      <x:c r="U334" s="92"/>
      <x:c r="V334" s="92"/>
      <x:c r="W334" s="92"/>
      <x:c r="X334" s="92"/>
      <x:c r="Y334" s="92"/>
      <x:c r="Z334" s="92"/>
    </x:row>
    <x:row r="335" spans="1:26">
      <x:c r="A335" s="106"/>
      <x:c r="B335" s="106"/>
      <x:c r="C335" s="106"/>
      <x:c r="D335" s="107"/>
      <x:c r="E335" s="108"/>
      <x:c r="F335" s="106"/>
      <x:c r="G335" s="106"/>
      <x:c r="H335" s="109"/>
      <x:c r="I335" s="11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</x:row>
    <x:row r="336" spans="1:26">
      <x:c r="A336" s="111"/>
      <x:c r="B336" s="111"/>
      <x:c r="C336" s="111"/>
      <x:c r="D336" s="112"/>
      <x:c r="E336" s="113"/>
      <x:c r="F336" s="111"/>
      <x:c r="G336" s="111"/>
      <x:c r="H336" s="114"/>
      <x:c r="I336" s="115"/>
      <x:c r="J336" s="92"/>
      <x:c r="K336" s="92"/>
      <x:c r="L336" s="92"/>
      <x:c r="M336" s="92"/>
      <x:c r="N336" s="92"/>
      <x:c r="O336" s="92"/>
      <x:c r="P336" s="92"/>
      <x:c r="Q336" s="92"/>
      <x:c r="R336" s="92"/>
      <x:c r="S336" s="92"/>
      <x:c r="T336" s="92"/>
      <x:c r="U336" s="92"/>
      <x:c r="V336" s="92"/>
      <x:c r="W336" s="92"/>
      <x:c r="X336" s="92"/>
      <x:c r="Y336" s="92"/>
      <x:c r="Z336" s="92"/>
    </x:row>
    <x:row r="337" spans="1:26">
      <x:c r="A337" s="106"/>
      <x:c r="B337" s="106"/>
      <x:c r="C337" s="106"/>
      <x:c r="D337" s="107"/>
      <x:c r="E337" s="108"/>
      <x:c r="F337" s="106"/>
      <x:c r="G337" s="106"/>
      <x:c r="H337" s="109"/>
      <x:c r="I337" s="11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</x:row>
    <x:row r="338" spans="1:26">
      <x:c r="A338" s="111"/>
      <x:c r="B338" s="111"/>
      <x:c r="C338" s="111"/>
      <x:c r="D338" s="112"/>
      <x:c r="E338" s="113"/>
      <x:c r="F338" s="111"/>
      <x:c r="G338" s="111"/>
      <x:c r="H338" s="114"/>
      <x:c r="I338" s="115"/>
      <x:c r="J338" s="92"/>
      <x:c r="K338" s="92"/>
      <x:c r="L338" s="92"/>
      <x:c r="M338" s="92"/>
      <x:c r="N338" s="92"/>
      <x:c r="O338" s="92"/>
      <x:c r="P338" s="92"/>
      <x:c r="Q338" s="92"/>
      <x:c r="R338" s="92"/>
      <x:c r="S338" s="92"/>
      <x:c r="T338" s="92"/>
      <x:c r="U338" s="92"/>
      <x:c r="V338" s="92"/>
      <x:c r="W338" s="92"/>
      <x:c r="X338" s="92"/>
      <x:c r="Y338" s="92"/>
      <x:c r="Z338" s="92"/>
    </x:row>
    <x:row r="339" spans="1:26">
      <x:c r="A339" s="106"/>
      <x:c r="B339" s="106"/>
      <x:c r="C339" s="106"/>
      <x:c r="D339" s="107"/>
      <x:c r="E339" s="108"/>
      <x:c r="F339" s="106"/>
      <x:c r="G339" s="106"/>
      <x:c r="H339" s="109"/>
      <x:c r="I339" s="11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</x:row>
    <x:row r="340" spans="1:26">
      <x:c r="A340" s="111"/>
      <x:c r="B340" s="111"/>
      <x:c r="C340" s="111"/>
      <x:c r="D340" s="112"/>
      <x:c r="E340" s="113"/>
      <x:c r="F340" s="111"/>
      <x:c r="G340" s="111"/>
      <x:c r="H340" s="114"/>
      <x:c r="I340" s="115"/>
      <x:c r="J340" s="92"/>
      <x:c r="K340" s="92"/>
      <x:c r="L340" s="92"/>
      <x:c r="M340" s="92"/>
      <x:c r="N340" s="92"/>
      <x:c r="O340" s="92"/>
      <x:c r="P340" s="92"/>
      <x:c r="Q340" s="92"/>
      <x:c r="R340" s="92"/>
      <x:c r="S340" s="92"/>
      <x:c r="T340" s="92"/>
      <x:c r="U340" s="92"/>
      <x:c r="V340" s="92"/>
      <x:c r="W340" s="92"/>
      <x:c r="X340" s="92"/>
      <x:c r="Y340" s="92"/>
      <x:c r="Z340" s="92"/>
    </x:row>
    <x:row r="341" spans="1:26">
      <x:c r="A341" s="106"/>
      <x:c r="B341" s="106"/>
      <x:c r="C341" s="106"/>
      <x:c r="D341" s="107"/>
      <x:c r="E341" s="108"/>
      <x:c r="F341" s="106"/>
      <x:c r="G341" s="106"/>
      <x:c r="H341" s="109"/>
      <x:c r="I341" s="11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</x:row>
    <x:row r="342" spans="1:26">
      <x:c r="A342" s="111"/>
      <x:c r="B342" s="111"/>
      <x:c r="C342" s="111"/>
      <x:c r="D342" s="112"/>
      <x:c r="E342" s="113"/>
      <x:c r="F342" s="111"/>
      <x:c r="G342" s="111"/>
      <x:c r="H342" s="114"/>
      <x:c r="I342" s="115"/>
      <x:c r="J342" s="92"/>
      <x:c r="K342" s="92"/>
      <x:c r="L342" s="92"/>
      <x:c r="M342" s="92"/>
      <x:c r="N342" s="92"/>
      <x:c r="O342" s="92"/>
      <x:c r="P342" s="92"/>
      <x:c r="Q342" s="92"/>
      <x:c r="R342" s="92"/>
      <x:c r="S342" s="92"/>
      <x:c r="T342" s="92"/>
      <x:c r="U342" s="92"/>
      <x:c r="V342" s="92"/>
      <x:c r="W342" s="92"/>
      <x:c r="X342" s="92"/>
      <x:c r="Y342" s="92"/>
      <x:c r="Z342" s="92"/>
    </x:row>
    <x:row r="343" spans="1:26">
      <x:c r="A343" s="106"/>
      <x:c r="B343" s="106"/>
      <x:c r="C343" s="106"/>
      <x:c r="D343" s="107"/>
      <x:c r="E343" s="108"/>
      <x:c r="F343" s="106"/>
      <x:c r="G343" s="106"/>
      <x:c r="H343" s="109"/>
      <x:c r="I343" s="11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</x:row>
    <x:row r="344" spans="1:26">
      <x:c r="A344" s="111"/>
      <x:c r="B344" s="111"/>
      <x:c r="C344" s="111"/>
      <x:c r="D344" s="112"/>
      <x:c r="E344" s="113"/>
      <x:c r="F344" s="111"/>
      <x:c r="G344" s="111"/>
      <x:c r="H344" s="114"/>
      <x:c r="I344" s="115"/>
      <x:c r="J344" s="92"/>
      <x:c r="K344" s="92"/>
      <x:c r="L344" s="92"/>
      <x:c r="M344" s="92"/>
      <x:c r="N344" s="92"/>
      <x:c r="O344" s="92"/>
      <x:c r="P344" s="92"/>
      <x:c r="Q344" s="92"/>
      <x:c r="R344" s="92"/>
      <x:c r="S344" s="92"/>
      <x:c r="T344" s="92"/>
      <x:c r="U344" s="92"/>
      <x:c r="V344" s="92"/>
      <x:c r="W344" s="92"/>
      <x:c r="X344" s="92"/>
      <x:c r="Y344" s="92"/>
      <x:c r="Z344" s="92"/>
    </x:row>
    <x:row r="345" spans="1:26">
      <x:c r="A345" s="106"/>
      <x:c r="B345" s="106"/>
      <x:c r="C345" s="106"/>
      <x:c r="D345" s="107"/>
      <x:c r="E345" s="108"/>
      <x:c r="F345" s="106"/>
      <x:c r="G345" s="106"/>
      <x:c r="H345" s="109"/>
      <x:c r="I345" s="11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</x:row>
    <x:row r="346" spans="1:26">
      <x:c r="A346" s="111"/>
      <x:c r="B346" s="111"/>
      <x:c r="C346" s="111"/>
      <x:c r="D346" s="112"/>
      <x:c r="E346" s="113"/>
      <x:c r="F346" s="111"/>
      <x:c r="G346" s="111"/>
      <x:c r="H346" s="114"/>
      <x:c r="I346" s="115"/>
      <x:c r="J346" s="92"/>
      <x:c r="K346" s="92"/>
      <x:c r="L346" s="92"/>
      <x:c r="M346" s="92"/>
      <x:c r="N346" s="92"/>
      <x:c r="O346" s="92"/>
      <x:c r="P346" s="92"/>
      <x:c r="Q346" s="92"/>
      <x:c r="R346" s="92"/>
      <x:c r="S346" s="92"/>
      <x:c r="T346" s="92"/>
      <x:c r="U346" s="92"/>
      <x:c r="V346" s="92"/>
      <x:c r="W346" s="92"/>
      <x:c r="X346" s="92"/>
      <x:c r="Y346" s="92"/>
      <x:c r="Z346" s="92"/>
    </x:row>
    <x:row r="347" spans="1:26">
      <x:c r="A347" s="106"/>
      <x:c r="B347" s="106"/>
      <x:c r="C347" s="106"/>
      <x:c r="D347" s="107"/>
      <x:c r="E347" s="108"/>
      <x:c r="F347" s="106"/>
      <x:c r="G347" s="106"/>
      <x:c r="H347" s="109"/>
      <x:c r="I347" s="11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</x:row>
    <x:row r="348" spans="1:26">
      <x:c r="A348" s="111"/>
      <x:c r="B348" s="111"/>
      <x:c r="C348" s="111"/>
      <x:c r="D348" s="112"/>
      <x:c r="E348" s="113"/>
      <x:c r="F348" s="111"/>
      <x:c r="G348" s="111"/>
      <x:c r="H348" s="114"/>
      <x:c r="I348" s="115"/>
      <x:c r="J348" s="92"/>
      <x:c r="K348" s="92"/>
      <x:c r="L348" s="92"/>
      <x:c r="M348" s="92"/>
      <x:c r="N348" s="92"/>
      <x:c r="O348" s="92"/>
      <x:c r="P348" s="92"/>
      <x:c r="Q348" s="92"/>
      <x:c r="R348" s="92"/>
      <x:c r="S348" s="92"/>
      <x:c r="T348" s="92"/>
      <x:c r="U348" s="92"/>
      <x:c r="V348" s="92"/>
      <x:c r="W348" s="92"/>
      <x:c r="X348" s="92"/>
      <x:c r="Y348" s="92"/>
      <x:c r="Z348" s="92"/>
    </x:row>
    <x:row r="349" spans="1:26">
      <x:c r="A349" s="106"/>
      <x:c r="B349" s="106"/>
      <x:c r="C349" s="106"/>
      <x:c r="D349" s="107"/>
      <x:c r="E349" s="108"/>
      <x:c r="F349" s="106"/>
      <x:c r="G349" s="106"/>
      <x:c r="H349" s="109"/>
      <x:c r="I349" s="11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</x:row>
    <x:row r="350" spans="1:26">
      <x:c r="A350" s="111"/>
      <x:c r="B350" s="111"/>
      <x:c r="C350" s="111"/>
      <x:c r="D350" s="112"/>
      <x:c r="E350" s="113"/>
      <x:c r="F350" s="111"/>
      <x:c r="G350" s="111"/>
      <x:c r="H350" s="114"/>
      <x:c r="I350" s="115"/>
      <x:c r="J350" s="92"/>
      <x:c r="K350" s="92"/>
      <x:c r="L350" s="92"/>
      <x:c r="M350" s="92"/>
      <x:c r="N350" s="92"/>
      <x:c r="O350" s="92"/>
      <x:c r="P350" s="92"/>
      <x:c r="Q350" s="92"/>
      <x:c r="R350" s="92"/>
      <x:c r="S350" s="92"/>
      <x:c r="T350" s="92"/>
      <x:c r="U350" s="92"/>
      <x:c r="V350" s="92"/>
      <x:c r="W350" s="92"/>
      <x:c r="X350" s="92"/>
      <x:c r="Y350" s="92"/>
      <x:c r="Z350" s="92"/>
    </x:row>
    <x:row r="351" spans="1:26">
      <x:c r="A351" s="106"/>
      <x:c r="B351" s="106"/>
      <x:c r="C351" s="106"/>
      <x:c r="D351" s="107"/>
      <x:c r="E351" s="108"/>
      <x:c r="F351" s="106"/>
      <x:c r="G351" s="106"/>
      <x:c r="H351" s="109"/>
      <x:c r="I351" s="11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</x:row>
    <x:row r="352" spans="1:26">
      <x:c r="A352" s="111"/>
      <x:c r="B352" s="111"/>
      <x:c r="C352" s="111"/>
      <x:c r="D352" s="112"/>
      <x:c r="E352" s="113"/>
      <x:c r="F352" s="111"/>
      <x:c r="G352" s="111"/>
      <x:c r="H352" s="114"/>
      <x:c r="I352" s="115"/>
      <x:c r="J352" s="92"/>
      <x:c r="K352" s="92"/>
      <x:c r="L352" s="92"/>
      <x:c r="M352" s="92"/>
      <x:c r="N352" s="92"/>
      <x:c r="O352" s="92"/>
      <x:c r="P352" s="92"/>
      <x:c r="Q352" s="92"/>
      <x:c r="R352" s="92"/>
      <x:c r="S352" s="92"/>
      <x:c r="T352" s="92"/>
      <x:c r="U352" s="92"/>
      <x:c r="V352" s="92"/>
      <x:c r="W352" s="92"/>
      <x:c r="X352" s="92"/>
      <x:c r="Y352" s="92"/>
      <x:c r="Z352" s="92"/>
    </x:row>
    <x:row r="353" spans="1:26">
      <x:c r="A353" s="106"/>
      <x:c r="B353" s="106"/>
      <x:c r="C353" s="106"/>
      <x:c r="D353" s="107"/>
      <x:c r="E353" s="108"/>
      <x:c r="F353" s="106"/>
      <x:c r="G353" s="106"/>
      <x:c r="H353" s="109"/>
      <x:c r="I353" s="11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</x:row>
    <x:row r="354" spans="1:26">
      <x:c r="A354" s="111"/>
      <x:c r="B354" s="111"/>
      <x:c r="C354" s="111"/>
      <x:c r="D354" s="112"/>
      <x:c r="E354" s="113"/>
      <x:c r="F354" s="111"/>
      <x:c r="G354" s="111"/>
      <x:c r="H354" s="114"/>
      <x:c r="I354" s="115"/>
      <x:c r="J354" s="92"/>
      <x:c r="K354" s="92"/>
      <x:c r="L354" s="92"/>
      <x:c r="M354" s="92"/>
      <x:c r="N354" s="92"/>
      <x:c r="O354" s="92"/>
      <x:c r="P354" s="92"/>
      <x:c r="Q354" s="92"/>
      <x:c r="R354" s="92"/>
      <x:c r="S354" s="92"/>
      <x:c r="T354" s="92"/>
      <x:c r="U354" s="92"/>
      <x:c r="V354" s="92"/>
      <x:c r="W354" s="92"/>
      <x:c r="X354" s="92"/>
      <x:c r="Y354" s="92"/>
      <x:c r="Z354" s="92"/>
    </x:row>
    <x:row r="355" spans="1:26">
      <x:c r="A355" s="106"/>
      <x:c r="B355" s="106"/>
      <x:c r="C355" s="106"/>
      <x:c r="D355" s="107"/>
      <x:c r="E355" s="108"/>
      <x:c r="F355" s="106"/>
      <x:c r="G355" s="106"/>
      <x:c r="H355" s="109"/>
      <x:c r="I355" s="11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</x:row>
    <x:row r="356" spans="1:26">
      <x:c r="A356" s="111"/>
      <x:c r="B356" s="111"/>
      <x:c r="C356" s="111"/>
      <x:c r="D356" s="112"/>
      <x:c r="E356" s="113"/>
      <x:c r="F356" s="111"/>
      <x:c r="G356" s="111"/>
      <x:c r="H356" s="114"/>
      <x:c r="I356" s="115"/>
      <x:c r="J356" s="92"/>
      <x:c r="K356" s="92"/>
      <x:c r="L356" s="92"/>
      <x:c r="M356" s="92"/>
      <x:c r="N356" s="92"/>
      <x:c r="O356" s="92"/>
      <x:c r="P356" s="92"/>
      <x:c r="Q356" s="92"/>
      <x:c r="R356" s="92"/>
      <x:c r="S356" s="92"/>
      <x:c r="T356" s="92"/>
      <x:c r="U356" s="92"/>
      <x:c r="V356" s="92"/>
      <x:c r="W356" s="92"/>
      <x:c r="X356" s="92"/>
      <x:c r="Y356" s="92"/>
      <x:c r="Z356" s="92"/>
    </x:row>
    <x:row r="357" spans="1:26">
      <x:c r="A357" s="106"/>
      <x:c r="B357" s="106"/>
      <x:c r="C357" s="106"/>
      <x:c r="D357" s="107"/>
      <x:c r="E357" s="108"/>
      <x:c r="F357" s="106"/>
      <x:c r="G357" s="106"/>
      <x:c r="H357" s="109"/>
      <x:c r="I357" s="11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</x:row>
    <x:row r="358" spans="1:26">
      <x:c r="A358" s="111"/>
      <x:c r="B358" s="111"/>
      <x:c r="C358" s="111"/>
      <x:c r="D358" s="112"/>
      <x:c r="E358" s="113"/>
      <x:c r="F358" s="111"/>
      <x:c r="G358" s="111"/>
      <x:c r="H358" s="114"/>
      <x:c r="I358" s="115"/>
      <x:c r="J358" s="92"/>
      <x:c r="K358" s="92"/>
      <x:c r="L358" s="92"/>
      <x:c r="M358" s="92"/>
      <x:c r="N358" s="92"/>
      <x:c r="O358" s="92"/>
      <x:c r="P358" s="92"/>
      <x:c r="Q358" s="92"/>
      <x:c r="R358" s="92"/>
      <x:c r="S358" s="92"/>
      <x:c r="T358" s="92"/>
      <x:c r="U358" s="92"/>
      <x:c r="V358" s="92"/>
      <x:c r="W358" s="92"/>
      <x:c r="X358" s="92"/>
      <x:c r="Y358" s="92"/>
      <x:c r="Z358" s="92"/>
    </x:row>
    <x:row r="359" spans="1:26">
      <x:c r="A359" s="106"/>
      <x:c r="B359" s="106"/>
      <x:c r="C359" s="106"/>
      <x:c r="D359" s="107"/>
      <x:c r="E359" s="108"/>
      <x:c r="F359" s="106"/>
      <x:c r="G359" s="106"/>
      <x:c r="H359" s="109"/>
      <x:c r="I359" s="11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</x:row>
    <x:row r="360" spans="1:26">
      <x:c r="A360" s="111"/>
      <x:c r="B360" s="111"/>
      <x:c r="C360" s="111"/>
      <x:c r="D360" s="112"/>
      <x:c r="E360" s="113"/>
      <x:c r="F360" s="111"/>
      <x:c r="G360" s="111"/>
      <x:c r="H360" s="114"/>
      <x:c r="I360" s="115"/>
      <x:c r="J360" s="92"/>
      <x:c r="K360" s="92"/>
      <x:c r="L360" s="92"/>
      <x:c r="M360" s="92"/>
      <x:c r="N360" s="92"/>
      <x:c r="O360" s="92"/>
      <x:c r="P360" s="92"/>
      <x:c r="Q360" s="92"/>
      <x:c r="R360" s="92"/>
      <x:c r="S360" s="92"/>
      <x:c r="T360" s="92"/>
      <x:c r="U360" s="92"/>
      <x:c r="V360" s="92"/>
      <x:c r="W360" s="92"/>
      <x:c r="X360" s="92"/>
      <x:c r="Y360" s="92"/>
      <x:c r="Z360" s="92"/>
    </x:row>
    <x:row r="361" spans="1:26">
      <x:c r="A361" s="106"/>
      <x:c r="B361" s="106"/>
      <x:c r="C361" s="106"/>
      <x:c r="D361" s="107"/>
      <x:c r="E361" s="108"/>
      <x:c r="F361" s="106"/>
      <x:c r="G361" s="106"/>
      <x:c r="H361" s="109"/>
      <x:c r="I361" s="11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</x:row>
    <x:row r="362" spans="1:26">
      <x:c r="A362" s="111"/>
      <x:c r="B362" s="111"/>
      <x:c r="C362" s="111"/>
      <x:c r="D362" s="112"/>
      <x:c r="E362" s="113"/>
      <x:c r="F362" s="111"/>
      <x:c r="G362" s="111"/>
      <x:c r="H362" s="114"/>
      <x:c r="I362" s="115"/>
      <x:c r="J362" s="92"/>
      <x:c r="K362" s="92"/>
      <x:c r="L362" s="92"/>
      <x:c r="M362" s="92"/>
      <x:c r="N362" s="92"/>
      <x:c r="O362" s="92"/>
      <x:c r="P362" s="92"/>
      <x:c r="Q362" s="92"/>
      <x:c r="R362" s="92"/>
      <x:c r="S362" s="92"/>
      <x:c r="T362" s="92"/>
      <x:c r="U362" s="92"/>
      <x:c r="V362" s="92"/>
      <x:c r="W362" s="92"/>
      <x:c r="X362" s="92"/>
      <x:c r="Y362" s="92"/>
      <x:c r="Z362" s="92"/>
    </x:row>
    <x:row r="363" spans="1:26">
      <x:c r="A363" s="106"/>
      <x:c r="B363" s="106"/>
      <x:c r="C363" s="106"/>
      <x:c r="D363" s="107"/>
      <x:c r="E363" s="108"/>
      <x:c r="F363" s="106"/>
      <x:c r="G363" s="106"/>
      <x:c r="H363" s="109"/>
      <x:c r="I363" s="11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</x:row>
    <x:row r="364" spans="1:26">
      <x:c r="A364" s="111"/>
      <x:c r="B364" s="111"/>
      <x:c r="C364" s="111"/>
      <x:c r="D364" s="112"/>
      <x:c r="E364" s="113"/>
      <x:c r="F364" s="111"/>
      <x:c r="G364" s="111"/>
      <x:c r="H364" s="114"/>
      <x:c r="I364" s="115"/>
      <x:c r="J364" s="92"/>
      <x:c r="K364" s="92"/>
      <x:c r="L364" s="92"/>
      <x:c r="M364" s="92"/>
      <x:c r="N364" s="92"/>
      <x:c r="O364" s="92"/>
      <x:c r="P364" s="92"/>
      <x:c r="Q364" s="92"/>
      <x:c r="R364" s="92"/>
      <x:c r="S364" s="92"/>
      <x:c r="T364" s="92"/>
      <x:c r="U364" s="92"/>
      <x:c r="V364" s="92"/>
      <x:c r="W364" s="92"/>
      <x:c r="X364" s="92"/>
      <x:c r="Y364" s="92"/>
      <x:c r="Z364" s="92"/>
    </x:row>
    <x:row r="365" spans="1:26">
      <x:c r="A365" s="106"/>
      <x:c r="B365" s="106"/>
      <x:c r="C365" s="106"/>
      <x:c r="D365" s="107"/>
      <x:c r="E365" s="108"/>
      <x:c r="F365" s="106"/>
      <x:c r="G365" s="106"/>
      <x:c r="H365" s="109"/>
      <x:c r="I365" s="11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</x:row>
    <x:row r="366" spans="1:26">
      <x:c r="A366" s="111"/>
      <x:c r="B366" s="111"/>
      <x:c r="C366" s="111"/>
      <x:c r="D366" s="112"/>
      <x:c r="E366" s="113"/>
      <x:c r="F366" s="111"/>
      <x:c r="G366" s="111"/>
      <x:c r="H366" s="114"/>
      <x:c r="I366" s="115"/>
      <x:c r="J366" s="92"/>
      <x:c r="K366" s="92"/>
      <x:c r="L366" s="92"/>
      <x:c r="M366" s="92"/>
      <x:c r="N366" s="92"/>
      <x:c r="O366" s="92"/>
      <x:c r="P366" s="92"/>
      <x:c r="Q366" s="92"/>
      <x:c r="R366" s="92"/>
      <x:c r="S366" s="92"/>
      <x:c r="T366" s="92"/>
      <x:c r="U366" s="92"/>
      <x:c r="V366" s="92"/>
      <x:c r="W366" s="92"/>
      <x:c r="X366" s="92"/>
      <x:c r="Y366" s="92"/>
      <x:c r="Z366" s="92"/>
    </x:row>
    <x:row r="367" spans="1:26">
      <x:c r="A367" s="106"/>
      <x:c r="B367" s="106"/>
      <x:c r="C367" s="106"/>
      <x:c r="D367" s="107"/>
      <x:c r="E367" s="108"/>
      <x:c r="F367" s="106"/>
      <x:c r="G367" s="106"/>
      <x:c r="H367" s="109"/>
      <x:c r="I367" s="11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</x:row>
    <x:row r="368" spans="1:26">
      <x:c r="A368" s="111"/>
      <x:c r="B368" s="111"/>
      <x:c r="C368" s="111"/>
      <x:c r="D368" s="112"/>
      <x:c r="E368" s="113"/>
      <x:c r="F368" s="111"/>
      <x:c r="G368" s="111"/>
      <x:c r="H368" s="114"/>
      <x:c r="I368" s="115"/>
      <x:c r="J368" s="92"/>
      <x:c r="K368" s="92"/>
      <x:c r="L368" s="92"/>
      <x:c r="M368" s="92"/>
      <x:c r="N368" s="92"/>
      <x:c r="O368" s="92"/>
      <x:c r="P368" s="92"/>
      <x:c r="Q368" s="92"/>
      <x:c r="R368" s="92"/>
      <x:c r="S368" s="92"/>
      <x:c r="T368" s="92"/>
      <x:c r="U368" s="92"/>
      <x:c r="V368" s="92"/>
      <x:c r="W368" s="92"/>
      <x:c r="X368" s="92"/>
      <x:c r="Y368" s="92"/>
      <x:c r="Z368" s="92"/>
    </x:row>
    <x:row r="369" spans="1:26">
      <x:c r="A369" s="106"/>
      <x:c r="B369" s="106"/>
      <x:c r="C369" s="106"/>
      <x:c r="D369" s="107"/>
      <x:c r="E369" s="108"/>
      <x:c r="F369" s="106"/>
      <x:c r="G369" s="106"/>
      <x:c r="H369" s="109"/>
      <x:c r="I369" s="11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</x:row>
    <x:row r="370" spans="1:26">
      <x:c r="A370" s="111"/>
      <x:c r="B370" s="111"/>
      <x:c r="C370" s="111"/>
      <x:c r="D370" s="112"/>
      <x:c r="E370" s="113"/>
      <x:c r="F370" s="111"/>
      <x:c r="G370" s="111"/>
      <x:c r="H370" s="114"/>
      <x:c r="I370" s="115"/>
      <x:c r="J370" s="92"/>
      <x:c r="K370" s="92"/>
      <x:c r="L370" s="92"/>
      <x:c r="M370" s="92"/>
      <x:c r="N370" s="92"/>
      <x:c r="O370" s="92"/>
      <x:c r="P370" s="92"/>
      <x:c r="Q370" s="92"/>
      <x:c r="R370" s="92"/>
      <x:c r="S370" s="92"/>
      <x:c r="T370" s="92"/>
      <x:c r="U370" s="92"/>
      <x:c r="V370" s="92"/>
      <x:c r="W370" s="92"/>
      <x:c r="X370" s="92"/>
      <x:c r="Y370" s="92"/>
      <x:c r="Z370" s="92"/>
    </x:row>
    <x:row r="371" spans="1:26">
      <x:c r="A371" s="106"/>
      <x:c r="B371" s="106"/>
      <x:c r="C371" s="106"/>
      <x:c r="D371" s="107"/>
      <x:c r="E371" s="108"/>
      <x:c r="F371" s="106"/>
      <x:c r="G371" s="106"/>
      <x:c r="H371" s="109"/>
      <x:c r="I371" s="11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</x:row>
    <x:row r="372" spans="1:26">
      <x:c r="A372" s="111"/>
      <x:c r="B372" s="111"/>
      <x:c r="C372" s="111"/>
      <x:c r="D372" s="112"/>
      <x:c r="E372" s="113"/>
      <x:c r="F372" s="111"/>
      <x:c r="G372" s="111"/>
      <x:c r="H372" s="114"/>
      <x:c r="I372" s="115"/>
      <x:c r="J372" s="92"/>
      <x:c r="K372" s="92"/>
      <x:c r="L372" s="92"/>
      <x:c r="M372" s="92"/>
      <x:c r="N372" s="92"/>
      <x:c r="O372" s="92"/>
      <x:c r="P372" s="92"/>
      <x:c r="Q372" s="92"/>
      <x:c r="R372" s="92"/>
      <x:c r="S372" s="92"/>
      <x:c r="T372" s="92"/>
      <x:c r="U372" s="92"/>
      <x:c r="V372" s="92"/>
      <x:c r="W372" s="92"/>
      <x:c r="X372" s="92"/>
      <x:c r="Y372" s="92"/>
      <x:c r="Z372" s="92"/>
    </x:row>
    <x:row r="373" spans="1:26">
      <x:c r="A373" s="106"/>
      <x:c r="B373" s="106"/>
      <x:c r="C373" s="106"/>
      <x:c r="D373" s="107"/>
      <x:c r="E373" s="108"/>
      <x:c r="F373" s="106"/>
      <x:c r="G373" s="106"/>
      <x:c r="H373" s="109"/>
      <x:c r="I373" s="11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</x:row>
    <x:row r="374" spans="1:26">
      <x:c r="A374" s="111"/>
      <x:c r="B374" s="111"/>
      <x:c r="C374" s="111"/>
      <x:c r="D374" s="112"/>
      <x:c r="E374" s="113"/>
      <x:c r="F374" s="111"/>
      <x:c r="G374" s="111"/>
      <x:c r="H374" s="114"/>
      <x:c r="I374" s="115"/>
      <x:c r="J374" s="92"/>
      <x:c r="K374" s="92"/>
      <x:c r="L374" s="92"/>
      <x:c r="M374" s="92"/>
      <x:c r="N374" s="92"/>
      <x:c r="O374" s="92"/>
      <x:c r="P374" s="92"/>
      <x:c r="Q374" s="92"/>
      <x:c r="R374" s="92"/>
      <x:c r="S374" s="92"/>
      <x:c r="T374" s="92"/>
      <x:c r="U374" s="92"/>
      <x:c r="V374" s="92"/>
      <x:c r="W374" s="92"/>
      <x:c r="X374" s="92"/>
      <x:c r="Y374" s="92"/>
      <x:c r="Z374" s="92"/>
    </x:row>
    <x:row r="375" spans="1:26">
      <x:c r="A375" s="106"/>
      <x:c r="B375" s="106"/>
      <x:c r="C375" s="106"/>
      <x:c r="D375" s="107"/>
      <x:c r="E375" s="108"/>
      <x:c r="F375" s="106"/>
      <x:c r="G375" s="106"/>
      <x:c r="H375" s="109"/>
      <x:c r="I375" s="11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</x:row>
    <x:row r="376" spans="1:26">
      <x:c r="A376" s="111"/>
      <x:c r="B376" s="111"/>
      <x:c r="C376" s="111"/>
      <x:c r="D376" s="112"/>
      <x:c r="E376" s="113"/>
      <x:c r="F376" s="111"/>
      <x:c r="G376" s="111"/>
      <x:c r="H376" s="114"/>
      <x:c r="I376" s="115"/>
      <x:c r="J376" s="92"/>
      <x:c r="K376" s="92"/>
      <x:c r="L376" s="92"/>
      <x:c r="M376" s="92"/>
      <x:c r="N376" s="92"/>
      <x:c r="O376" s="92"/>
      <x:c r="P376" s="92"/>
      <x:c r="Q376" s="92"/>
      <x:c r="R376" s="92"/>
      <x:c r="S376" s="92"/>
      <x:c r="T376" s="92"/>
      <x:c r="U376" s="92"/>
      <x:c r="V376" s="92"/>
      <x:c r="W376" s="92"/>
      <x:c r="X376" s="92"/>
      <x:c r="Y376" s="92"/>
      <x:c r="Z376" s="92"/>
    </x:row>
    <x:row r="377" spans="1:26">
      <x:c r="A377" s="106"/>
      <x:c r="B377" s="106"/>
      <x:c r="C377" s="106"/>
      <x:c r="D377" s="107"/>
      <x:c r="E377" s="108"/>
      <x:c r="F377" s="106"/>
      <x:c r="G377" s="106"/>
      <x:c r="H377" s="109"/>
      <x:c r="I377" s="11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</x:row>
    <x:row r="378" spans="1:26">
      <x:c r="A378" s="111"/>
      <x:c r="B378" s="111"/>
      <x:c r="C378" s="111"/>
      <x:c r="D378" s="112"/>
      <x:c r="E378" s="113"/>
      <x:c r="F378" s="111"/>
      <x:c r="G378" s="111"/>
      <x:c r="H378" s="114"/>
      <x:c r="I378" s="115"/>
      <x:c r="J378" s="92"/>
      <x:c r="K378" s="92"/>
      <x:c r="L378" s="92"/>
      <x:c r="M378" s="92"/>
      <x:c r="N378" s="92"/>
      <x:c r="O378" s="92"/>
      <x:c r="P378" s="92"/>
      <x:c r="Q378" s="92"/>
      <x:c r="R378" s="92"/>
      <x:c r="S378" s="92"/>
      <x:c r="T378" s="92"/>
      <x:c r="U378" s="92"/>
      <x:c r="V378" s="92"/>
      <x:c r="W378" s="92"/>
      <x:c r="X378" s="92"/>
      <x:c r="Y378" s="92"/>
      <x:c r="Z378" s="92"/>
    </x:row>
    <x:row r="379" spans="1:26">
      <x:c r="A379" s="106"/>
      <x:c r="B379" s="106"/>
      <x:c r="C379" s="106"/>
      <x:c r="D379" s="107"/>
      <x:c r="E379" s="108"/>
      <x:c r="F379" s="106"/>
      <x:c r="G379" s="106"/>
      <x:c r="H379" s="109"/>
      <x:c r="I379" s="11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</x:row>
    <x:row r="380" spans="1:26">
      <x:c r="A380" s="111"/>
      <x:c r="B380" s="111"/>
      <x:c r="C380" s="111"/>
      <x:c r="D380" s="112"/>
      <x:c r="E380" s="113"/>
      <x:c r="F380" s="111"/>
      <x:c r="G380" s="111"/>
      <x:c r="H380" s="114"/>
      <x:c r="I380" s="115"/>
      <x:c r="J380" s="92"/>
      <x:c r="K380" s="92"/>
      <x:c r="L380" s="92"/>
      <x:c r="M380" s="92"/>
      <x:c r="N380" s="92"/>
      <x:c r="O380" s="92"/>
      <x:c r="P380" s="92"/>
      <x:c r="Q380" s="92"/>
      <x:c r="R380" s="92"/>
      <x:c r="S380" s="92"/>
      <x:c r="T380" s="92"/>
      <x:c r="U380" s="92"/>
      <x:c r="V380" s="92"/>
      <x:c r="W380" s="92"/>
      <x:c r="X380" s="92"/>
      <x:c r="Y380" s="92"/>
      <x:c r="Z380" s="92"/>
    </x:row>
    <x:row r="381" spans="1:26">
      <x:c r="A381" s="106"/>
      <x:c r="B381" s="106"/>
      <x:c r="C381" s="106"/>
      <x:c r="D381" s="107"/>
      <x:c r="E381" s="108"/>
      <x:c r="F381" s="106"/>
      <x:c r="G381" s="106"/>
      <x:c r="H381" s="109"/>
      <x:c r="I381" s="11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</x:row>
    <x:row r="382" spans="1:26">
      <x:c r="A382" s="111"/>
      <x:c r="B382" s="111"/>
      <x:c r="C382" s="111"/>
      <x:c r="D382" s="112"/>
      <x:c r="E382" s="113"/>
      <x:c r="F382" s="111"/>
      <x:c r="G382" s="111"/>
      <x:c r="H382" s="114"/>
      <x:c r="I382" s="115"/>
      <x:c r="J382" s="92"/>
      <x:c r="K382" s="92"/>
      <x:c r="L382" s="92"/>
      <x:c r="M382" s="92"/>
      <x:c r="N382" s="92"/>
      <x:c r="O382" s="92"/>
      <x:c r="P382" s="92"/>
      <x:c r="Q382" s="92"/>
      <x:c r="R382" s="92"/>
      <x:c r="S382" s="92"/>
      <x:c r="T382" s="92"/>
      <x:c r="U382" s="92"/>
      <x:c r="V382" s="92"/>
      <x:c r="W382" s="92"/>
      <x:c r="X382" s="92"/>
      <x:c r="Y382" s="92"/>
      <x:c r="Z382" s="92"/>
    </x:row>
    <x:row r="383" spans="1:26">
      <x:c r="A383" s="106"/>
      <x:c r="B383" s="106"/>
      <x:c r="C383" s="106"/>
      <x:c r="D383" s="107"/>
      <x:c r="E383" s="108"/>
      <x:c r="F383" s="106"/>
      <x:c r="G383" s="106"/>
      <x:c r="H383" s="109"/>
      <x:c r="I383" s="11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</x:row>
    <x:row r="384" spans="1:26">
      <x:c r="A384" s="111"/>
      <x:c r="B384" s="111"/>
      <x:c r="C384" s="111"/>
      <x:c r="D384" s="112"/>
      <x:c r="E384" s="113"/>
      <x:c r="F384" s="111"/>
      <x:c r="G384" s="111"/>
      <x:c r="H384" s="114"/>
      <x:c r="I384" s="115"/>
      <x:c r="J384" s="92"/>
      <x:c r="K384" s="92"/>
      <x:c r="L384" s="92"/>
      <x:c r="M384" s="92"/>
      <x:c r="N384" s="92"/>
      <x:c r="O384" s="92"/>
      <x:c r="P384" s="92"/>
      <x:c r="Q384" s="92"/>
      <x:c r="R384" s="92"/>
      <x:c r="S384" s="92"/>
      <x:c r="T384" s="92"/>
      <x:c r="U384" s="92"/>
      <x:c r="V384" s="92"/>
      <x:c r="W384" s="92"/>
      <x:c r="X384" s="92"/>
      <x:c r="Y384" s="92"/>
      <x:c r="Z384" s="92"/>
    </x:row>
    <x:row r="385" spans="1:26">
      <x:c r="A385" s="106"/>
      <x:c r="B385" s="106"/>
      <x:c r="C385" s="106"/>
      <x:c r="D385" s="107"/>
      <x:c r="E385" s="108"/>
      <x:c r="F385" s="106"/>
      <x:c r="G385" s="106"/>
      <x:c r="H385" s="109"/>
      <x:c r="I385" s="11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</x:row>
    <x:row r="386" spans="1:26">
      <x:c r="A386" s="111"/>
      <x:c r="B386" s="111"/>
      <x:c r="C386" s="111"/>
      <x:c r="D386" s="112"/>
      <x:c r="E386" s="113"/>
      <x:c r="F386" s="111"/>
      <x:c r="G386" s="111"/>
      <x:c r="H386" s="114"/>
      <x:c r="I386" s="115"/>
      <x:c r="J386" s="92"/>
      <x:c r="K386" s="92"/>
      <x:c r="L386" s="92"/>
      <x:c r="M386" s="92"/>
      <x:c r="N386" s="92"/>
      <x:c r="O386" s="92"/>
      <x:c r="P386" s="92"/>
      <x:c r="Q386" s="92"/>
      <x:c r="R386" s="92"/>
      <x:c r="S386" s="92"/>
      <x:c r="T386" s="92"/>
      <x:c r="U386" s="92"/>
      <x:c r="V386" s="92"/>
      <x:c r="W386" s="92"/>
      <x:c r="X386" s="92"/>
      <x:c r="Y386" s="92"/>
      <x:c r="Z386" s="92"/>
    </x:row>
    <x:row r="387" spans="1:26">
      <x:c r="A387" s="106"/>
      <x:c r="B387" s="106"/>
      <x:c r="C387" s="106"/>
      <x:c r="D387" s="107"/>
      <x:c r="E387" s="108"/>
      <x:c r="F387" s="106"/>
      <x:c r="G387" s="106"/>
      <x:c r="H387" s="109"/>
      <x:c r="I387" s="11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</x:row>
    <x:row r="388" spans="1:26">
      <x:c r="A388" s="111"/>
      <x:c r="B388" s="111"/>
      <x:c r="C388" s="111"/>
      <x:c r="D388" s="112"/>
      <x:c r="E388" s="113"/>
      <x:c r="F388" s="111"/>
      <x:c r="G388" s="111"/>
      <x:c r="H388" s="114"/>
      <x:c r="I388" s="115"/>
      <x:c r="J388" s="92"/>
      <x:c r="K388" s="92"/>
      <x:c r="L388" s="92"/>
      <x:c r="M388" s="92"/>
      <x:c r="N388" s="92"/>
      <x:c r="O388" s="92"/>
      <x:c r="P388" s="92"/>
      <x:c r="Q388" s="92"/>
      <x:c r="R388" s="92"/>
      <x:c r="S388" s="92"/>
      <x:c r="T388" s="92"/>
      <x:c r="U388" s="92"/>
      <x:c r="V388" s="92"/>
      <x:c r="W388" s="92"/>
      <x:c r="X388" s="92"/>
      <x:c r="Y388" s="92"/>
      <x:c r="Z388" s="92"/>
    </x:row>
    <x:row r="389" spans="1:26">
      <x:c r="A389" s="106"/>
      <x:c r="B389" s="106"/>
      <x:c r="C389" s="106"/>
      <x:c r="D389" s="107"/>
      <x:c r="E389" s="108"/>
      <x:c r="F389" s="106"/>
      <x:c r="G389" s="106"/>
      <x:c r="H389" s="109"/>
      <x:c r="I389" s="11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</x:row>
    <x:row r="390" spans="1:26">
      <x:c r="A390" s="111"/>
      <x:c r="B390" s="111"/>
      <x:c r="C390" s="111"/>
      <x:c r="D390" s="112"/>
      <x:c r="E390" s="113"/>
      <x:c r="F390" s="111"/>
      <x:c r="G390" s="111"/>
      <x:c r="H390" s="114"/>
      <x:c r="I390" s="115"/>
      <x:c r="J390" s="92"/>
      <x:c r="K390" s="92"/>
      <x:c r="L390" s="92"/>
      <x:c r="M390" s="92"/>
      <x:c r="N390" s="92"/>
      <x:c r="O390" s="92"/>
      <x:c r="P390" s="92"/>
      <x:c r="Q390" s="92"/>
      <x:c r="R390" s="92"/>
      <x:c r="S390" s="92"/>
      <x:c r="T390" s="92"/>
      <x:c r="U390" s="92"/>
      <x:c r="V390" s="92"/>
      <x:c r="W390" s="92"/>
      <x:c r="X390" s="92"/>
      <x:c r="Y390" s="92"/>
      <x:c r="Z390" s="92"/>
    </x:row>
    <x:row r="391" spans="1:26">
      <x:c r="A391" s="106"/>
      <x:c r="B391" s="106"/>
      <x:c r="C391" s="106"/>
      <x:c r="D391" s="107"/>
      <x:c r="E391" s="108"/>
      <x:c r="F391" s="106"/>
      <x:c r="G391" s="106"/>
      <x:c r="H391" s="109"/>
      <x:c r="I391" s="11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</x:row>
    <x:row r="392" spans="1:26">
      <x:c r="A392" s="111"/>
      <x:c r="B392" s="111"/>
      <x:c r="C392" s="111"/>
      <x:c r="D392" s="112"/>
      <x:c r="E392" s="113"/>
      <x:c r="F392" s="111"/>
      <x:c r="G392" s="111"/>
      <x:c r="H392" s="114"/>
      <x:c r="I392" s="115"/>
      <x:c r="J392" s="92"/>
      <x:c r="K392" s="92"/>
      <x:c r="L392" s="92"/>
      <x:c r="M392" s="92"/>
      <x:c r="N392" s="92"/>
      <x:c r="O392" s="92"/>
      <x:c r="P392" s="92"/>
      <x:c r="Q392" s="92"/>
      <x:c r="R392" s="92"/>
      <x:c r="S392" s="92"/>
      <x:c r="T392" s="92"/>
      <x:c r="U392" s="92"/>
      <x:c r="V392" s="92"/>
      <x:c r="W392" s="92"/>
      <x:c r="X392" s="92"/>
      <x:c r="Y392" s="92"/>
      <x:c r="Z392" s="92"/>
    </x:row>
    <x:row r="393" spans="1:26">
      <x:c r="A393" s="106"/>
      <x:c r="B393" s="106"/>
      <x:c r="C393" s="106"/>
      <x:c r="D393" s="107"/>
      <x:c r="E393" s="108"/>
      <x:c r="F393" s="106"/>
      <x:c r="G393" s="106"/>
      <x:c r="H393" s="109"/>
      <x:c r="I393" s="11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</x:row>
    <x:row r="394" spans="1:26">
      <x:c r="A394" s="111"/>
      <x:c r="B394" s="111"/>
      <x:c r="C394" s="111"/>
      <x:c r="D394" s="112"/>
      <x:c r="E394" s="113"/>
      <x:c r="F394" s="111"/>
      <x:c r="G394" s="111"/>
      <x:c r="H394" s="114"/>
      <x:c r="I394" s="115"/>
      <x:c r="J394" s="92"/>
      <x:c r="K394" s="92"/>
      <x:c r="L394" s="92"/>
      <x:c r="M394" s="92"/>
      <x:c r="N394" s="92"/>
      <x:c r="O394" s="92"/>
      <x:c r="P394" s="92"/>
      <x:c r="Q394" s="92"/>
      <x:c r="R394" s="92"/>
      <x:c r="S394" s="92"/>
      <x:c r="T394" s="92"/>
      <x:c r="U394" s="92"/>
      <x:c r="V394" s="92"/>
      <x:c r="W394" s="92"/>
      <x:c r="X394" s="92"/>
      <x:c r="Y394" s="92"/>
      <x:c r="Z394" s="92"/>
    </x:row>
    <x:row r="395" spans="1:26">
      <x:c r="A395" s="106"/>
      <x:c r="B395" s="106"/>
      <x:c r="C395" s="106"/>
      <x:c r="D395" s="107"/>
      <x:c r="E395" s="108"/>
      <x:c r="F395" s="106"/>
      <x:c r="G395" s="106"/>
      <x:c r="H395" s="109"/>
      <x:c r="I395" s="11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</x:row>
    <x:row r="396" spans="1:26">
      <x:c r="A396" s="111"/>
      <x:c r="B396" s="111"/>
      <x:c r="C396" s="111"/>
      <x:c r="D396" s="112"/>
      <x:c r="E396" s="113"/>
      <x:c r="F396" s="111"/>
      <x:c r="G396" s="111"/>
      <x:c r="H396" s="114"/>
      <x:c r="I396" s="115"/>
      <x:c r="J396" s="92"/>
      <x:c r="K396" s="92"/>
      <x:c r="L396" s="92"/>
      <x:c r="M396" s="92"/>
      <x:c r="N396" s="92"/>
      <x:c r="O396" s="92"/>
      <x:c r="P396" s="92"/>
      <x:c r="Q396" s="92"/>
      <x:c r="R396" s="92"/>
      <x:c r="S396" s="92"/>
      <x:c r="T396" s="92"/>
      <x:c r="U396" s="92"/>
      <x:c r="V396" s="92"/>
      <x:c r="W396" s="92"/>
      <x:c r="X396" s="92"/>
      <x:c r="Y396" s="92"/>
      <x:c r="Z396" s="92"/>
    </x:row>
    <x:row r="397" spans="1:26">
      <x:c r="A397" s="106"/>
      <x:c r="B397" s="106"/>
      <x:c r="C397" s="106"/>
      <x:c r="D397" s="107"/>
      <x:c r="E397" s="108"/>
      <x:c r="F397" s="106"/>
      <x:c r="G397" s="106"/>
      <x:c r="H397" s="109"/>
      <x:c r="I397" s="11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</x:row>
    <x:row r="398" spans="1:26">
      <x:c r="A398" s="111"/>
      <x:c r="B398" s="111"/>
      <x:c r="C398" s="111"/>
      <x:c r="D398" s="112"/>
      <x:c r="E398" s="113"/>
      <x:c r="F398" s="111"/>
      <x:c r="G398" s="111"/>
      <x:c r="H398" s="114"/>
      <x:c r="I398" s="115"/>
      <x:c r="J398" s="92"/>
      <x:c r="K398" s="92"/>
      <x:c r="L398" s="92"/>
      <x:c r="M398" s="92"/>
      <x:c r="N398" s="92"/>
      <x:c r="O398" s="92"/>
      <x:c r="P398" s="92"/>
      <x:c r="Q398" s="92"/>
      <x:c r="R398" s="92"/>
      <x:c r="S398" s="92"/>
      <x:c r="T398" s="92"/>
      <x:c r="U398" s="92"/>
      <x:c r="V398" s="92"/>
      <x:c r="W398" s="92"/>
      <x:c r="X398" s="92"/>
      <x:c r="Y398" s="92"/>
      <x:c r="Z398" s="92"/>
    </x:row>
    <x:row r="399" spans="1:26">
      <x:c r="A399" s="106"/>
      <x:c r="B399" s="106"/>
      <x:c r="C399" s="106"/>
      <x:c r="D399" s="107"/>
      <x:c r="E399" s="108"/>
      <x:c r="F399" s="106"/>
      <x:c r="G399" s="106"/>
      <x:c r="H399" s="109"/>
      <x:c r="I399" s="11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</x:row>
    <x:row r="400" spans="1:26">
      <x:c r="A400" s="111"/>
      <x:c r="B400" s="111"/>
      <x:c r="C400" s="111"/>
      <x:c r="D400" s="112"/>
      <x:c r="E400" s="113"/>
      <x:c r="F400" s="111"/>
      <x:c r="G400" s="111"/>
      <x:c r="H400" s="114"/>
      <x:c r="I400" s="115"/>
      <x:c r="J400" s="92"/>
      <x:c r="K400" s="92"/>
      <x:c r="L400" s="92"/>
      <x:c r="M400" s="92"/>
      <x:c r="N400" s="92"/>
      <x:c r="O400" s="92"/>
      <x:c r="P400" s="92"/>
      <x:c r="Q400" s="92"/>
      <x:c r="R400" s="92"/>
      <x:c r="S400" s="92"/>
      <x:c r="T400" s="92"/>
      <x:c r="U400" s="92"/>
      <x:c r="V400" s="92"/>
      <x:c r="W400" s="92"/>
      <x:c r="X400" s="92"/>
      <x:c r="Y400" s="92"/>
      <x:c r="Z400" s="92"/>
    </x:row>
    <x:row r="401" spans="1:26">
      <x:c r="A401" s="106"/>
      <x:c r="B401" s="106"/>
      <x:c r="C401" s="106"/>
      <x:c r="D401" s="107"/>
      <x:c r="E401" s="108"/>
      <x:c r="F401" s="106"/>
      <x:c r="G401" s="106"/>
      <x:c r="H401" s="109"/>
      <x:c r="I401" s="11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</x:row>
    <x:row r="402" spans="1:26">
      <x:c r="A402" s="111"/>
      <x:c r="B402" s="111"/>
      <x:c r="C402" s="111"/>
      <x:c r="D402" s="112"/>
      <x:c r="E402" s="113"/>
      <x:c r="F402" s="111"/>
      <x:c r="G402" s="111"/>
      <x:c r="H402" s="114"/>
      <x:c r="I402" s="115"/>
      <x:c r="J402" s="92"/>
      <x:c r="K402" s="92"/>
      <x:c r="L402" s="92"/>
      <x:c r="M402" s="92"/>
      <x:c r="N402" s="92"/>
      <x:c r="O402" s="92"/>
      <x:c r="P402" s="92"/>
      <x:c r="Q402" s="92"/>
      <x:c r="R402" s="92"/>
      <x:c r="S402" s="92"/>
      <x:c r="T402" s="92"/>
      <x:c r="U402" s="92"/>
      <x:c r="V402" s="92"/>
      <x:c r="W402" s="92"/>
      <x:c r="X402" s="92"/>
      <x:c r="Y402" s="92"/>
      <x:c r="Z402" s="92"/>
    </x:row>
    <x:row r="403" spans="1:26">
      <x:c r="A403" s="106"/>
      <x:c r="B403" s="106"/>
      <x:c r="C403" s="106"/>
      <x:c r="D403" s="107"/>
      <x:c r="E403" s="108"/>
      <x:c r="F403" s="106"/>
      <x:c r="G403" s="106"/>
      <x:c r="H403" s="109"/>
      <x:c r="I403" s="11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</x:row>
    <x:row r="404" spans="1:26">
      <x:c r="A404" s="111"/>
      <x:c r="B404" s="111"/>
      <x:c r="C404" s="111"/>
      <x:c r="D404" s="112"/>
      <x:c r="E404" s="113"/>
      <x:c r="F404" s="111"/>
      <x:c r="G404" s="111"/>
      <x:c r="H404" s="114"/>
      <x:c r="I404" s="115"/>
      <x:c r="J404" s="92"/>
      <x:c r="K404" s="92"/>
      <x:c r="L404" s="92"/>
      <x:c r="M404" s="92"/>
      <x:c r="N404" s="92"/>
      <x:c r="O404" s="92"/>
      <x:c r="P404" s="92"/>
      <x:c r="Q404" s="92"/>
      <x:c r="R404" s="92"/>
      <x:c r="S404" s="92"/>
      <x:c r="T404" s="92"/>
      <x:c r="U404" s="92"/>
      <x:c r="V404" s="92"/>
      <x:c r="W404" s="92"/>
      <x:c r="X404" s="92"/>
      <x:c r="Y404" s="92"/>
      <x:c r="Z404" s="92"/>
    </x:row>
    <x:row r="405" spans="1:26">
      <x:c r="A405" s="106"/>
      <x:c r="B405" s="106"/>
      <x:c r="C405" s="106"/>
      <x:c r="D405" s="107"/>
      <x:c r="E405" s="108"/>
      <x:c r="F405" s="106"/>
      <x:c r="G405" s="106"/>
      <x:c r="H405" s="109"/>
      <x:c r="I405" s="11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</x:row>
    <x:row r="406" spans="1:26">
      <x:c r="A406" s="111"/>
      <x:c r="B406" s="111"/>
      <x:c r="C406" s="111"/>
      <x:c r="D406" s="112"/>
      <x:c r="E406" s="113"/>
      <x:c r="F406" s="111"/>
      <x:c r="G406" s="111"/>
      <x:c r="H406" s="114"/>
      <x:c r="I406" s="115"/>
      <x:c r="J406" s="92"/>
      <x:c r="K406" s="92"/>
      <x:c r="L406" s="92"/>
      <x:c r="M406" s="92"/>
      <x:c r="N406" s="92"/>
      <x:c r="O406" s="92"/>
      <x:c r="P406" s="92"/>
      <x:c r="Q406" s="92"/>
      <x:c r="R406" s="92"/>
      <x:c r="S406" s="92"/>
      <x:c r="T406" s="92"/>
      <x:c r="U406" s="92"/>
      <x:c r="V406" s="92"/>
      <x:c r="W406" s="92"/>
      <x:c r="X406" s="92"/>
      <x:c r="Y406" s="92"/>
      <x:c r="Z406" s="92"/>
    </x:row>
    <x:row r="407" spans="1:26">
      <x:c r="A407" s="106"/>
      <x:c r="B407" s="106"/>
      <x:c r="C407" s="106"/>
      <x:c r="D407" s="107"/>
      <x:c r="E407" s="108"/>
      <x:c r="F407" s="106"/>
      <x:c r="G407" s="106"/>
      <x:c r="H407" s="109"/>
      <x:c r="I407" s="11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</x:row>
    <x:row r="408" spans="1:26">
      <x:c r="A408" s="111"/>
      <x:c r="B408" s="111"/>
      <x:c r="C408" s="111"/>
      <x:c r="D408" s="112"/>
      <x:c r="E408" s="113"/>
      <x:c r="F408" s="111"/>
      <x:c r="G408" s="111"/>
      <x:c r="H408" s="114"/>
      <x:c r="I408" s="115"/>
      <x:c r="J408" s="92"/>
      <x:c r="K408" s="92"/>
      <x:c r="L408" s="92"/>
      <x:c r="M408" s="92"/>
      <x:c r="N408" s="92"/>
      <x:c r="O408" s="92"/>
      <x:c r="P408" s="92"/>
      <x:c r="Q408" s="92"/>
      <x:c r="R408" s="92"/>
      <x:c r="S408" s="92"/>
      <x:c r="T408" s="92"/>
      <x:c r="U408" s="92"/>
      <x:c r="V408" s="92"/>
      <x:c r="W408" s="92"/>
      <x:c r="X408" s="92"/>
      <x:c r="Y408" s="92"/>
      <x:c r="Z408" s="92"/>
    </x:row>
    <x:row r="409" spans="1:26">
      <x:c r="A409" s="106"/>
      <x:c r="B409" s="106"/>
      <x:c r="C409" s="106"/>
      <x:c r="D409" s="107"/>
      <x:c r="E409" s="108"/>
      <x:c r="F409" s="106"/>
      <x:c r="G409" s="106"/>
      <x:c r="H409" s="109"/>
      <x:c r="I409" s="11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</x:row>
    <x:row r="410" spans="1:26">
      <x:c r="A410" s="111"/>
      <x:c r="B410" s="111"/>
      <x:c r="C410" s="111"/>
      <x:c r="D410" s="112"/>
      <x:c r="E410" s="113"/>
      <x:c r="F410" s="111"/>
      <x:c r="G410" s="111"/>
      <x:c r="H410" s="114"/>
      <x:c r="I410" s="115"/>
      <x:c r="J410" s="92"/>
      <x:c r="K410" s="92"/>
      <x:c r="L410" s="92"/>
      <x:c r="M410" s="92"/>
      <x:c r="N410" s="92"/>
      <x:c r="O410" s="92"/>
      <x:c r="P410" s="92"/>
      <x:c r="Q410" s="92"/>
      <x:c r="R410" s="92"/>
      <x:c r="S410" s="92"/>
      <x:c r="T410" s="92"/>
      <x:c r="U410" s="92"/>
      <x:c r="V410" s="92"/>
      <x:c r="W410" s="92"/>
      <x:c r="X410" s="92"/>
      <x:c r="Y410" s="92"/>
      <x:c r="Z410" s="92"/>
    </x:row>
    <x:row r="411" spans="1:26">
      <x:c r="A411" s="106"/>
      <x:c r="B411" s="106"/>
      <x:c r="C411" s="106"/>
      <x:c r="D411" s="107"/>
      <x:c r="E411" s="108"/>
      <x:c r="F411" s="106"/>
      <x:c r="G411" s="106"/>
      <x:c r="H411" s="109"/>
      <x:c r="I411" s="11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</x:row>
    <x:row r="412" spans="1:26">
      <x:c r="A412" s="111"/>
      <x:c r="B412" s="111"/>
      <x:c r="C412" s="111"/>
      <x:c r="D412" s="112"/>
      <x:c r="E412" s="113"/>
      <x:c r="F412" s="111"/>
      <x:c r="G412" s="111"/>
      <x:c r="H412" s="114"/>
      <x:c r="I412" s="115"/>
      <x:c r="J412" s="92"/>
      <x:c r="K412" s="92"/>
      <x:c r="L412" s="92"/>
      <x:c r="M412" s="92"/>
      <x:c r="N412" s="92"/>
      <x:c r="O412" s="92"/>
      <x:c r="P412" s="92"/>
      <x:c r="Q412" s="92"/>
      <x:c r="R412" s="92"/>
      <x:c r="S412" s="92"/>
      <x:c r="T412" s="92"/>
      <x:c r="U412" s="92"/>
      <x:c r="V412" s="92"/>
      <x:c r="W412" s="92"/>
      <x:c r="X412" s="92"/>
      <x:c r="Y412" s="92"/>
      <x:c r="Z412" s="92"/>
    </x:row>
    <x:row r="413" spans="1:26">
      <x:c r="A413" s="106"/>
      <x:c r="B413" s="106"/>
      <x:c r="C413" s="106"/>
      <x:c r="D413" s="107"/>
      <x:c r="E413" s="108"/>
      <x:c r="F413" s="106"/>
      <x:c r="G413" s="106"/>
      <x:c r="H413" s="109"/>
      <x:c r="I413" s="11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</x:row>
    <x:row r="414" spans="1:26">
      <x:c r="A414" s="111"/>
      <x:c r="B414" s="111"/>
      <x:c r="C414" s="111"/>
      <x:c r="D414" s="112"/>
      <x:c r="E414" s="113"/>
      <x:c r="F414" s="111"/>
      <x:c r="G414" s="111"/>
      <x:c r="H414" s="114"/>
      <x:c r="I414" s="115"/>
      <x:c r="J414" s="92"/>
      <x:c r="K414" s="92"/>
      <x:c r="L414" s="92"/>
      <x:c r="M414" s="92"/>
      <x:c r="N414" s="92"/>
      <x:c r="O414" s="92"/>
      <x:c r="P414" s="92"/>
      <x:c r="Q414" s="92"/>
      <x:c r="R414" s="92"/>
      <x:c r="S414" s="92"/>
      <x:c r="T414" s="92"/>
      <x:c r="U414" s="92"/>
      <x:c r="V414" s="92"/>
      <x:c r="W414" s="92"/>
      <x:c r="X414" s="92"/>
      <x:c r="Y414" s="92"/>
      <x:c r="Z414" s="92"/>
    </x:row>
    <x:row r="415" spans="1:26">
      <x:c r="A415" s="106"/>
      <x:c r="B415" s="106"/>
      <x:c r="C415" s="106"/>
      <x:c r="D415" s="107"/>
      <x:c r="E415" s="108"/>
      <x:c r="F415" s="106"/>
      <x:c r="G415" s="106"/>
      <x:c r="H415" s="109"/>
      <x:c r="I415" s="11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</x:row>
    <x:row r="416" spans="1:26">
      <x:c r="A416" s="111"/>
      <x:c r="B416" s="111"/>
      <x:c r="C416" s="111"/>
      <x:c r="D416" s="112"/>
      <x:c r="E416" s="113"/>
      <x:c r="F416" s="111"/>
      <x:c r="G416" s="111"/>
      <x:c r="H416" s="114"/>
      <x:c r="I416" s="115"/>
      <x:c r="J416" s="92"/>
      <x:c r="K416" s="92"/>
      <x:c r="L416" s="92"/>
      <x:c r="M416" s="92"/>
      <x:c r="N416" s="92"/>
      <x:c r="O416" s="92"/>
      <x:c r="P416" s="92"/>
      <x:c r="Q416" s="92"/>
      <x:c r="R416" s="92"/>
      <x:c r="S416" s="92"/>
      <x:c r="T416" s="92"/>
      <x:c r="U416" s="92"/>
      <x:c r="V416" s="92"/>
      <x:c r="W416" s="92"/>
      <x:c r="X416" s="92"/>
      <x:c r="Y416" s="92"/>
      <x:c r="Z416" s="92"/>
    </x:row>
    <x:row r="417" spans="1:26">
      <x:c r="A417" s="106"/>
      <x:c r="B417" s="106"/>
      <x:c r="C417" s="106"/>
      <x:c r="D417" s="107"/>
      <x:c r="E417" s="108"/>
      <x:c r="F417" s="106"/>
      <x:c r="G417" s="106"/>
      <x:c r="H417" s="109"/>
      <x:c r="I417" s="11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</x:row>
    <x:row r="418" spans="1:26">
      <x:c r="A418" s="111"/>
      <x:c r="B418" s="111"/>
      <x:c r="C418" s="111"/>
      <x:c r="D418" s="112"/>
      <x:c r="E418" s="113"/>
      <x:c r="F418" s="111"/>
      <x:c r="G418" s="111"/>
      <x:c r="H418" s="114"/>
      <x:c r="I418" s="115"/>
      <x:c r="J418" s="92"/>
      <x:c r="K418" s="92"/>
      <x:c r="L418" s="92"/>
      <x:c r="M418" s="92"/>
      <x:c r="N418" s="92"/>
      <x:c r="O418" s="92"/>
      <x:c r="P418" s="92"/>
      <x:c r="Q418" s="92"/>
      <x:c r="R418" s="92"/>
      <x:c r="S418" s="92"/>
      <x:c r="T418" s="92"/>
      <x:c r="U418" s="92"/>
      <x:c r="V418" s="92"/>
      <x:c r="W418" s="92"/>
      <x:c r="X418" s="92"/>
      <x:c r="Y418" s="92"/>
      <x:c r="Z418" s="92"/>
    </x:row>
    <x:row r="419" spans="1:26">
      <x:c r="A419" s="106"/>
      <x:c r="B419" s="106"/>
      <x:c r="C419" s="106"/>
      <x:c r="D419" s="107"/>
      <x:c r="E419" s="108"/>
      <x:c r="F419" s="106"/>
      <x:c r="G419" s="106"/>
      <x:c r="H419" s="109"/>
      <x:c r="I419" s="11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</x:row>
    <x:row r="420" spans="1:26">
      <x:c r="A420" s="111"/>
      <x:c r="B420" s="111"/>
      <x:c r="C420" s="111"/>
      <x:c r="D420" s="112"/>
      <x:c r="E420" s="113"/>
      <x:c r="F420" s="111"/>
      <x:c r="G420" s="111"/>
      <x:c r="H420" s="114"/>
      <x:c r="I420" s="115"/>
      <x:c r="J420" s="92"/>
      <x:c r="K420" s="92"/>
      <x:c r="L420" s="92"/>
      <x:c r="M420" s="92"/>
      <x:c r="N420" s="92"/>
      <x:c r="O420" s="92"/>
      <x:c r="P420" s="92"/>
      <x:c r="Q420" s="92"/>
      <x:c r="R420" s="92"/>
      <x:c r="S420" s="92"/>
      <x:c r="T420" s="92"/>
      <x:c r="U420" s="92"/>
      <x:c r="V420" s="92"/>
      <x:c r="W420" s="92"/>
      <x:c r="X420" s="92"/>
      <x:c r="Y420" s="92"/>
      <x:c r="Z420" s="92"/>
    </x:row>
    <x:row r="421" spans="1:26">
      <x:c r="A421" s="106"/>
      <x:c r="B421" s="106"/>
      <x:c r="C421" s="106"/>
      <x:c r="D421" s="107"/>
      <x:c r="E421" s="108"/>
      <x:c r="F421" s="106"/>
      <x:c r="G421" s="106"/>
      <x:c r="H421" s="109"/>
      <x:c r="I421" s="11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</x:row>
    <x:row r="422" spans="1:26">
      <x:c r="A422" s="111"/>
      <x:c r="B422" s="111"/>
      <x:c r="C422" s="111"/>
      <x:c r="D422" s="112"/>
      <x:c r="E422" s="113"/>
      <x:c r="F422" s="111"/>
      <x:c r="G422" s="111"/>
      <x:c r="H422" s="114"/>
      <x:c r="I422" s="115"/>
      <x:c r="J422" s="92"/>
      <x:c r="K422" s="92"/>
      <x:c r="L422" s="92"/>
      <x:c r="M422" s="92"/>
      <x:c r="N422" s="92"/>
      <x:c r="O422" s="92"/>
      <x:c r="P422" s="92"/>
      <x:c r="Q422" s="92"/>
      <x:c r="R422" s="92"/>
      <x:c r="S422" s="92"/>
      <x:c r="T422" s="92"/>
      <x:c r="U422" s="92"/>
      <x:c r="V422" s="92"/>
      <x:c r="W422" s="92"/>
      <x:c r="X422" s="92"/>
      <x:c r="Y422" s="92"/>
      <x:c r="Z422" s="92"/>
    </x:row>
    <x:row r="423" spans="1:26">
      <x:c r="A423" s="106"/>
      <x:c r="B423" s="106"/>
      <x:c r="C423" s="106"/>
      <x:c r="D423" s="107"/>
      <x:c r="E423" s="108"/>
      <x:c r="F423" s="106"/>
      <x:c r="G423" s="106"/>
      <x:c r="H423" s="109"/>
      <x:c r="I423" s="11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</x:row>
    <x:row r="424" spans="1:26">
      <x:c r="A424" s="111"/>
      <x:c r="B424" s="111"/>
      <x:c r="C424" s="111"/>
      <x:c r="D424" s="112"/>
      <x:c r="E424" s="113"/>
      <x:c r="F424" s="111"/>
      <x:c r="G424" s="111"/>
      <x:c r="H424" s="114"/>
      <x:c r="I424" s="115"/>
      <x:c r="J424" s="92"/>
      <x:c r="K424" s="92"/>
      <x:c r="L424" s="92"/>
      <x:c r="M424" s="92"/>
      <x:c r="N424" s="92"/>
      <x:c r="O424" s="92"/>
      <x:c r="P424" s="92"/>
      <x:c r="Q424" s="92"/>
      <x:c r="R424" s="92"/>
      <x:c r="S424" s="92"/>
      <x:c r="T424" s="92"/>
      <x:c r="U424" s="92"/>
      <x:c r="V424" s="92"/>
      <x:c r="W424" s="92"/>
      <x:c r="X424" s="92"/>
      <x:c r="Y424" s="92"/>
      <x:c r="Z424" s="92"/>
    </x:row>
    <x:row r="425" spans="1:26">
      <x:c r="A425" s="106"/>
      <x:c r="B425" s="106"/>
      <x:c r="C425" s="106"/>
      <x:c r="D425" s="107"/>
      <x:c r="E425" s="108"/>
      <x:c r="F425" s="106"/>
      <x:c r="G425" s="106"/>
      <x:c r="H425" s="109"/>
      <x:c r="I425" s="11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</x:row>
    <x:row r="426" spans="1:26">
      <x:c r="A426" s="111"/>
      <x:c r="B426" s="111"/>
      <x:c r="C426" s="111"/>
      <x:c r="D426" s="112"/>
      <x:c r="E426" s="113"/>
      <x:c r="F426" s="111"/>
      <x:c r="G426" s="111"/>
      <x:c r="H426" s="114"/>
      <x:c r="I426" s="115"/>
      <x:c r="J426" s="92"/>
      <x:c r="K426" s="92"/>
      <x:c r="L426" s="92"/>
      <x:c r="M426" s="92"/>
      <x:c r="N426" s="92"/>
      <x:c r="O426" s="92"/>
      <x:c r="P426" s="92"/>
      <x:c r="Q426" s="92"/>
      <x:c r="R426" s="92"/>
      <x:c r="S426" s="92"/>
      <x:c r="T426" s="92"/>
      <x:c r="U426" s="92"/>
      <x:c r="V426" s="92"/>
      <x:c r="W426" s="92"/>
      <x:c r="X426" s="92"/>
      <x:c r="Y426" s="92"/>
      <x:c r="Z426" s="92"/>
    </x:row>
    <x:row r="427" spans="1:26">
      <x:c r="A427" s="106"/>
      <x:c r="B427" s="106"/>
      <x:c r="C427" s="106"/>
      <x:c r="D427" s="107"/>
      <x:c r="E427" s="108"/>
      <x:c r="F427" s="106"/>
      <x:c r="G427" s="106"/>
      <x:c r="H427" s="109"/>
      <x:c r="I427" s="11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</x:row>
    <x:row r="428" spans="1:26">
      <x:c r="A428" s="111"/>
      <x:c r="B428" s="111"/>
      <x:c r="C428" s="111"/>
      <x:c r="D428" s="112"/>
      <x:c r="E428" s="113"/>
      <x:c r="F428" s="111"/>
      <x:c r="G428" s="111"/>
      <x:c r="H428" s="114"/>
      <x:c r="I428" s="115"/>
      <x:c r="J428" s="92"/>
      <x:c r="K428" s="92"/>
      <x:c r="L428" s="92"/>
      <x:c r="M428" s="92"/>
      <x:c r="N428" s="92"/>
      <x:c r="O428" s="92"/>
      <x:c r="P428" s="92"/>
      <x:c r="Q428" s="92"/>
      <x:c r="R428" s="92"/>
      <x:c r="S428" s="92"/>
      <x:c r="T428" s="92"/>
      <x:c r="U428" s="92"/>
      <x:c r="V428" s="92"/>
      <x:c r="W428" s="92"/>
      <x:c r="X428" s="92"/>
      <x:c r="Y428" s="92"/>
      <x:c r="Z428" s="92"/>
    </x:row>
    <x:row r="429" spans="1:26">
      <x:c r="A429" s="106"/>
      <x:c r="B429" s="106"/>
      <x:c r="C429" s="106"/>
      <x:c r="D429" s="107"/>
      <x:c r="E429" s="108"/>
      <x:c r="F429" s="106"/>
      <x:c r="G429" s="106"/>
      <x:c r="H429" s="109"/>
      <x:c r="I429" s="11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</x:row>
    <x:row r="430" spans="1:26">
      <x:c r="A430" s="111"/>
      <x:c r="B430" s="111"/>
      <x:c r="C430" s="111"/>
      <x:c r="D430" s="112"/>
      <x:c r="E430" s="113"/>
      <x:c r="F430" s="111"/>
      <x:c r="G430" s="111"/>
      <x:c r="H430" s="114"/>
      <x:c r="I430" s="115"/>
      <x:c r="J430" s="92"/>
      <x:c r="K430" s="92"/>
      <x:c r="L430" s="92"/>
      <x:c r="M430" s="92"/>
      <x:c r="N430" s="92"/>
      <x:c r="O430" s="92"/>
      <x:c r="P430" s="92"/>
      <x:c r="Q430" s="92"/>
      <x:c r="R430" s="92"/>
      <x:c r="S430" s="92"/>
      <x:c r="T430" s="92"/>
      <x:c r="U430" s="92"/>
      <x:c r="V430" s="92"/>
      <x:c r="W430" s="92"/>
      <x:c r="X430" s="92"/>
      <x:c r="Y430" s="92"/>
      <x:c r="Z430" s="92"/>
    </x:row>
    <x:row r="431" spans="1:26">
      <x:c r="A431" s="106"/>
      <x:c r="B431" s="106"/>
      <x:c r="C431" s="106"/>
      <x:c r="D431" s="107"/>
      <x:c r="E431" s="108"/>
      <x:c r="F431" s="106"/>
      <x:c r="G431" s="106"/>
      <x:c r="H431" s="109"/>
      <x:c r="I431" s="11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</x:row>
    <x:row r="432" spans="1:26">
      <x:c r="A432" s="111"/>
      <x:c r="B432" s="111"/>
      <x:c r="C432" s="111"/>
      <x:c r="D432" s="112"/>
      <x:c r="E432" s="113"/>
      <x:c r="F432" s="111"/>
      <x:c r="G432" s="111"/>
      <x:c r="H432" s="114"/>
      <x:c r="I432" s="115"/>
      <x:c r="J432" s="92"/>
      <x:c r="K432" s="92"/>
      <x:c r="L432" s="92"/>
      <x:c r="M432" s="92"/>
      <x:c r="N432" s="92"/>
      <x:c r="O432" s="92"/>
      <x:c r="P432" s="92"/>
      <x:c r="Q432" s="92"/>
      <x:c r="R432" s="92"/>
      <x:c r="S432" s="92"/>
      <x:c r="T432" s="92"/>
      <x:c r="U432" s="92"/>
      <x:c r="V432" s="92"/>
      <x:c r="W432" s="92"/>
      <x:c r="X432" s="92"/>
      <x:c r="Y432" s="92"/>
      <x:c r="Z432" s="92"/>
    </x:row>
    <x:row r="433" spans="1:26">
      <x:c r="A433" s="106"/>
      <x:c r="B433" s="106"/>
      <x:c r="C433" s="106"/>
      <x:c r="D433" s="107"/>
      <x:c r="E433" s="108"/>
      <x:c r="F433" s="106"/>
      <x:c r="G433" s="106"/>
      <x:c r="H433" s="109"/>
      <x:c r="I433" s="11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</x:row>
    <x:row r="434" spans="1:26">
      <x:c r="A434" s="111"/>
      <x:c r="B434" s="111"/>
      <x:c r="C434" s="111"/>
      <x:c r="D434" s="112"/>
      <x:c r="E434" s="113"/>
      <x:c r="F434" s="111"/>
      <x:c r="G434" s="111"/>
      <x:c r="H434" s="114"/>
      <x:c r="I434" s="115"/>
      <x:c r="J434" s="92"/>
      <x:c r="K434" s="92"/>
      <x:c r="L434" s="92"/>
      <x:c r="M434" s="92"/>
      <x:c r="N434" s="92"/>
      <x:c r="O434" s="92"/>
      <x:c r="P434" s="92"/>
      <x:c r="Q434" s="92"/>
      <x:c r="R434" s="92"/>
      <x:c r="S434" s="92"/>
      <x:c r="T434" s="92"/>
      <x:c r="U434" s="92"/>
      <x:c r="V434" s="92"/>
      <x:c r="W434" s="92"/>
      <x:c r="X434" s="92"/>
      <x:c r="Y434" s="92"/>
      <x:c r="Z434" s="92"/>
    </x:row>
    <x:row r="435" spans="1:26">
      <x:c r="A435" s="106"/>
      <x:c r="B435" s="106"/>
      <x:c r="C435" s="106"/>
      <x:c r="D435" s="107"/>
      <x:c r="E435" s="108"/>
      <x:c r="F435" s="106"/>
      <x:c r="G435" s="106"/>
      <x:c r="H435" s="109"/>
      <x:c r="I435" s="11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</x:row>
    <x:row r="436" spans="1:26">
      <x:c r="A436" s="111"/>
      <x:c r="B436" s="111"/>
      <x:c r="C436" s="111"/>
      <x:c r="D436" s="112"/>
      <x:c r="E436" s="113"/>
      <x:c r="F436" s="111"/>
      <x:c r="G436" s="111"/>
      <x:c r="H436" s="114"/>
      <x:c r="I436" s="115"/>
      <x:c r="J436" s="92"/>
      <x:c r="K436" s="92"/>
      <x:c r="L436" s="92"/>
      <x:c r="M436" s="92"/>
      <x:c r="N436" s="92"/>
      <x:c r="O436" s="92"/>
      <x:c r="P436" s="92"/>
      <x:c r="Q436" s="92"/>
      <x:c r="R436" s="92"/>
      <x:c r="S436" s="92"/>
      <x:c r="T436" s="92"/>
      <x:c r="U436" s="92"/>
      <x:c r="V436" s="92"/>
      <x:c r="W436" s="92"/>
      <x:c r="X436" s="92"/>
      <x:c r="Y436" s="92"/>
      <x:c r="Z436" s="92"/>
    </x:row>
    <x:row r="437" spans="1:26">
      <x:c r="A437" s="106"/>
      <x:c r="B437" s="106"/>
      <x:c r="C437" s="106"/>
      <x:c r="D437" s="107"/>
      <x:c r="E437" s="108"/>
      <x:c r="F437" s="106"/>
      <x:c r="G437" s="106"/>
      <x:c r="H437" s="109"/>
      <x:c r="I437" s="11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</x:row>
    <x:row r="438" spans="1:26">
      <x:c r="A438" s="111"/>
      <x:c r="B438" s="111"/>
      <x:c r="C438" s="111"/>
      <x:c r="D438" s="112"/>
      <x:c r="E438" s="113"/>
      <x:c r="F438" s="111"/>
      <x:c r="G438" s="111"/>
      <x:c r="H438" s="114"/>
      <x:c r="I438" s="115"/>
      <x:c r="J438" s="92"/>
      <x:c r="K438" s="92"/>
      <x:c r="L438" s="92"/>
      <x:c r="M438" s="92"/>
      <x:c r="N438" s="92"/>
      <x:c r="O438" s="92"/>
      <x:c r="P438" s="92"/>
      <x:c r="Q438" s="92"/>
      <x:c r="R438" s="92"/>
      <x:c r="S438" s="92"/>
      <x:c r="T438" s="92"/>
      <x:c r="U438" s="92"/>
      <x:c r="V438" s="92"/>
      <x:c r="W438" s="92"/>
      <x:c r="X438" s="92"/>
      <x:c r="Y438" s="92"/>
      <x:c r="Z438" s="92"/>
    </x:row>
    <x:row r="439" spans="1:26">
      <x:c r="A439" s="106"/>
      <x:c r="B439" s="106"/>
      <x:c r="C439" s="106"/>
      <x:c r="D439" s="107"/>
      <x:c r="E439" s="108"/>
      <x:c r="F439" s="106"/>
      <x:c r="G439" s="106"/>
      <x:c r="H439" s="109"/>
      <x:c r="I439" s="11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</x:row>
    <x:row r="440" spans="1:26">
      <x:c r="A440" s="111"/>
      <x:c r="B440" s="111"/>
      <x:c r="C440" s="111"/>
      <x:c r="D440" s="112"/>
      <x:c r="E440" s="113"/>
      <x:c r="F440" s="111"/>
      <x:c r="G440" s="111"/>
      <x:c r="H440" s="114"/>
      <x:c r="I440" s="115"/>
      <x:c r="J440" s="92"/>
      <x:c r="K440" s="92"/>
      <x:c r="L440" s="92"/>
      <x:c r="M440" s="92"/>
      <x:c r="N440" s="92"/>
      <x:c r="O440" s="92"/>
      <x:c r="P440" s="92"/>
      <x:c r="Q440" s="92"/>
      <x:c r="R440" s="92"/>
      <x:c r="S440" s="92"/>
      <x:c r="T440" s="92"/>
      <x:c r="U440" s="92"/>
      <x:c r="V440" s="92"/>
      <x:c r="W440" s="92"/>
      <x:c r="X440" s="92"/>
      <x:c r="Y440" s="92"/>
      <x:c r="Z440" s="92"/>
    </x:row>
    <x:row r="441" spans="1:26">
      <x:c r="A441" s="106"/>
      <x:c r="B441" s="106"/>
      <x:c r="C441" s="106"/>
      <x:c r="D441" s="107"/>
      <x:c r="E441" s="108"/>
      <x:c r="F441" s="106"/>
      <x:c r="G441" s="106"/>
      <x:c r="H441" s="109"/>
      <x:c r="I441" s="11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</x:row>
    <x:row r="442" spans="1:26">
      <x:c r="A442" s="111"/>
      <x:c r="B442" s="111"/>
      <x:c r="C442" s="111"/>
      <x:c r="D442" s="112"/>
      <x:c r="E442" s="113"/>
      <x:c r="F442" s="111"/>
      <x:c r="G442" s="111"/>
      <x:c r="H442" s="114"/>
      <x:c r="I442" s="115"/>
      <x:c r="J442" s="92"/>
      <x:c r="K442" s="92"/>
      <x:c r="L442" s="92"/>
      <x:c r="M442" s="92"/>
      <x:c r="N442" s="92"/>
      <x:c r="O442" s="92"/>
      <x:c r="P442" s="92"/>
      <x:c r="Q442" s="92"/>
      <x:c r="R442" s="92"/>
      <x:c r="S442" s="92"/>
      <x:c r="T442" s="92"/>
      <x:c r="U442" s="92"/>
      <x:c r="V442" s="92"/>
      <x:c r="W442" s="92"/>
      <x:c r="X442" s="92"/>
      <x:c r="Y442" s="92"/>
      <x:c r="Z442" s="92"/>
    </x:row>
    <x:row r="443" spans="1:26">
      <x:c r="A443" s="106"/>
      <x:c r="B443" s="106"/>
      <x:c r="C443" s="106"/>
      <x:c r="D443" s="107"/>
      <x:c r="E443" s="108"/>
      <x:c r="F443" s="106"/>
      <x:c r="G443" s="106"/>
      <x:c r="H443" s="109"/>
      <x:c r="I443" s="11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</x:row>
    <x:row r="444" spans="1:26">
      <x:c r="A444" s="111"/>
      <x:c r="B444" s="111"/>
      <x:c r="C444" s="111"/>
      <x:c r="D444" s="112"/>
      <x:c r="E444" s="113"/>
      <x:c r="F444" s="111"/>
      <x:c r="G444" s="111"/>
      <x:c r="H444" s="114"/>
      <x:c r="I444" s="115"/>
      <x:c r="J444" s="92"/>
      <x:c r="K444" s="92"/>
      <x:c r="L444" s="92"/>
      <x:c r="M444" s="92"/>
      <x:c r="N444" s="92"/>
      <x:c r="O444" s="92"/>
      <x:c r="P444" s="92"/>
      <x:c r="Q444" s="92"/>
      <x:c r="R444" s="92"/>
      <x:c r="S444" s="92"/>
      <x:c r="T444" s="92"/>
      <x:c r="U444" s="92"/>
      <x:c r="V444" s="92"/>
      <x:c r="W444" s="92"/>
      <x:c r="X444" s="92"/>
      <x:c r="Y444" s="92"/>
      <x:c r="Z444" s="92"/>
    </x:row>
    <x:row r="445" spans="1:26">
      <x:c r="A445" s="106"/>
      <x:c r="B445" s="106"/>
      <x:c r="C445" s="106"/>
      <x:c r="D445" s="107"/>
      <x:c r="E445" s="108"/>
      <x:c r="F445" s="106"/>
      <x:c r="G445" s="106"/>
      <x:c r="H445" s="109"/>
      <x:c r="I445" s="11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</x:row>
    <x:row r="446" spans="1:26">
      <x:c r="A446" s="111"/>
      <x:c r="B446" s="111"/>
      <x:c r="C446" s="111"/>
      <x:c r="D446" s="112"/>
      <x:c r="E446" s="113"/>
      <x:c r="F446" s="111"/>
      <x:c r="G446" s="111"/>
      <x:c r="H446" s="114"/>
      <x:c r="I446" s="115"/>
      <x:c r="J446" s="92"/>
      <x:c r="K446" s="92"/>
      <x:c r="L446" s="92"/>
      <x:c r="M446" s="92"/>
      <x:c r="N446" s="92"/>
      <x:c r="O446" s="92"/>
      <x:c r="P446" s="92"/>
      <x:c r="Q446" s="92"/>
      <x:c r="R446" s="92"/>
      <x:c r="S446" s="92"/>
      <x:c r="T446" s="92"/>
      <x:c r="U446" s="92"/>
      <x:c r="V446" s="92"/>
      <x:c r="W446" s="92"/>
      <x:c r="X446" s="92"/>
      <x:c r="Y446" s="92"/>
      <x:c r="Z446" s="92"/>
    </x:row>
    <x:row r="447" spans="1:26">
      <x:c r="A447" s="106"/>
      <x:c r="B447" s="106"/>
      <x:c r="C447" s="106"/>
      <x:c r="D447" s="107"/>
      <x:c r="E447" s="108"/>
      <x:c r="F447" s="106"/>
      <x:c r="G447" s="106"/>
      <x:c r="H447" s="109"/>
      <x:c r="I447" s="11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</x:row>
    <x:row r="448" spans="1:26">
      <x:c r="A448" s="111"/>
      <x:c r="B448" s="111"/>
      <x:c r="C448" s="111"/>
      <x:c r="D448" s="112"/>
      <x:c r="E448" s="113"/>
      <x:c r="F448" s="111"/>
      <x:c r="G448" s="111"/>
      <x:c r="H448" s="114"/>
      <x:c r="I448" s="115"/>
      <x:c r="J448" s="92"/>
      <x:c r="K448" s="92"/>
      <x:c r="L448" s="92"/>
      <x:c r="M448" s="92"/>
      <x:c r="N448" s="92"/>
      <x:c r="O448" s="92"/>
      <x:c r="P448" s="92"/>
      <x:c r="Q448" s="92"/>
      <x:c r="R448" s="92"/>
      <x:c r="S448" s="92"/>
      <x:c r="T448" s="92"/>
      <x:c r="U448" s="92"/>
      <x:c r="V448" s="92"/>
      <x:c r="W448" s="92"/>
      <x:c r="X448" s="92"/>
      <x:c r="Y448" s="92"/>
      <x:c r="Z448" s="92"/>
    </x:row>
    <x:row r="449" spans="1:26">
      <x:c r="A449" s="106"/>
      <x:c r="B449" s="106"/>
      <x:c r="C449" s="106"/>
      <x:c r="D449" s="107"/>
      <x:c r="E449" s="108"/>
      <x:c r="F449" s="106"/>
      <x:c r="G449" s="106"/>
      <x:c r="H449" s="109"/>
      <x:c r="I449" s="11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</x:row>
    <x:row r="450" spans="1:26">
      <x:c r="A450" s="111"/>
      <x:c r="B450" s="111"/>
      <x:c r="C450" s="111"/>
      <x:c r="D450" s="112"/>
      <x:c r="E450" s="113"/>
      <x:c r="F450" s="111"/>
      <x:c r="G450" s="111"/>
      <x:c r="H450" s="114"/>
      <x:c r="I450" s="115"/>
      <x:c r="J450" s="92"/>
      <x:c r="K450" s="92"/>
      <x:c r="L450" s="92"/>
      <x:c r="M450" s="92"/>
      <x:c r="N450" s="92"/>
      <x:c r="O450" s="92"/>
      <x:c r="P450" s="92"/>
      <x:c r="Q450" s="92"/>
      <x:c r="R450" s="92"/>
      <x:c r="S450" s="92"/>
      <x:c r="T450" s="92"/>
      <x:c r="U450" s="92"/>
      <x:c r="V450" s="92"/>
      <x:c r="W450" s="92"/>
      <x:c r="X450" s="92"/>
      <x:c r="Y450" s="92"/>
      <x:c r="Z450" s="92"/>
    </x:row>
    <x:row r="451" spans="1:26">
      <x:c r="A451" s="106"/>
      <x:c r="B451" s="106"/>
      <x:c r="C451" s="106"/>
      <x:c r="D451" s="107"/>
      <x:c r="E451" s="108"/>
      <x:c r="F451" s="106"/>
      <x:c r="G451" s="106"/>
      <x:c r="H451" s="109"/>
      <x:c r="I451" s="11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</x:row>
    <x:row r="452" spans="1:26">
      <x:c r="A452" s="111"/>
      <x:c r="B452" s="111"/>
      <x:c r="C452" s="111"/>
      <x:c r="D452" s="112"/>
      <x:c r="E452" s="113"/>
      <x:c r="F452" s="111"/>
      <x:c r="G452" s="111"/>
      <x:c r="H452" s="114"/>
      <x:c r="I452" s="115"/>
      <x:c r="J452" s="92"/>
      <x:c r="K452" s="92"/>
      <x:c r="L452" s="92"/>
      <x:c r="M452" s="92"/>
      <x:c r="N452" s="92"/>
      <x:c r="O452" s="92"/>
      <x:c r="P452" s="92"/>
      <x:c r="Q452" s="92"/>
      <x:c r="R452" s="92"/>
      <x:c r="S452" s="92"/>
      <x:c r="T452" s="92"/>
      <x:c r="U452" s="92"/>
      <x:c r="V452" s="92"/>
      <x:c r="W452" s="92"/>
      <x:c r="X452" s="92"/>
      <x:c r="Y452" s="92"/>
      <x:c r="Z452" s="92"/>
    </x:row>
    <x:row r="453" spans="1:26">
      <x:c r="A453" s="106"/>
      <x:c r="B453" s="106"/>
      <x:c r="C453" s="106"/>
      <x:c r="D453" s="107"/>
      <x:c r="E453" s="108"/>
      <x:c r="F453" s="106"/>
      <x:c r="G453" s="106"/>
      <x:c r="H453" s="109"/>
      <x:c r="I453" s="11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</x:row>
    <x:row r="454" spans="1:26">
      <x:c r="A454" s="111"/>
      <x:c r="B454" s="111"/>
      <x:c r="C454" s="111"/>
      <x:c r="D454" s="112"/>
      <x:c r="E454" s="113"/>
      <x:c r="F454" s="111"/>
      <x:c r="G454" s="111"/>
      <x:c r="H454" s="114"/>
      <x:c r="I454" s="115"/>
      <x:c r="J454" s="92"/>
      <x:c r="K454" s="92"/>
      <x:c r="L454" s="92"/>
      <x:c r="M454" s="92"/>
      <x:c r="N454" s="92"/>
      <x:c r="O454" s="92"/>
      <x:c r="P454" s="92"/>
      <x:c r="Q454" s="92"/>
      <x:c r="R454" s="92"/>
      <x:c r="S454" s="92"/>
      <x:c r="T454" s="92"/>
      <x:c r="U454" s="92"/>
      <x:c r="V454" s="92"/>
      <x:c r="W454" s="92"/>
      <x:c r="X454" s="92"/>
      <x:c r="Y454" s="92"/>
      <x:c r="Z454" s="92"/>
    </x:row>
    <x:row r="455" spans="1:26">
      <x:c r="A455" s="106"/>
      <x:c r="B455" s="106"/>
      <x:c r="C455" s="106"/>
      <x:c r="D455" s="107"/>
      <x:c r="E455" s="108"/>
      <x:c r="F455" s="106"/>
      <x:c r="G455" s="106"/>
      <x:c r="H455" s="109"/>
      <x:c r="I455" s="11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</x:row>
    <x:row r="456" spans="1:26">
      <x:c r="A456" s="111"/>
      <x:c r="B456" s="111"/>
      <x:c r="C456" s="111"/>
      <x:c r="D456" s="112"/>
      <x:c r="E456" s="113"/>
      <x:c r="F456" s="111"/>
      <x:c r="G456" s="111"/>
      <x:c r="H456" s="114"/>
      <x:c r="I456" s="115"/>
      <x:c r="J456" s="92"/>
      <x:c r="K456" s="92"/>
      <x:c r="L456" s="92"/>
      <x:c r="M456" s="92"/>
      <x:c r="N456" s="92"/>
      <x:c r="O456" s="92"/>
      <x:c r="P456" s="92"/>
      <x:c r="Q456" s="92"/>
      <x:c r="R456" s="92"/>
      <x:c r="S456" s="92"/>
      <x:c r="T456" s="92"/>
      <x:c r="U456" s="92"/>
      <x:c r="V456" s="92"/>
      <x:c r="W456" s="92"/>
      <x:c r="X456" s="92"/>
      <x:c r="Y456" s="92"/>
      <x:c r="Z456" s="92"/>
    </x:row>
    <x:row r="457" spans="1:26">
      <x:c r="A457" s="106"/>
      <x:c r="B457" s="106"/>
      <x:c r="C457" s="106"/>
      <x:c r="D457" s="107"/>
      <x:c r="E457" s="108"/>
      <x:c r="F457" s="106"/>
      <x:c r="G457" s="106"/>
      <x:c r="H457" s="109"/>
      <x:c r="I457" s="11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</x:row>
    <x:row r="458" spans="1:26">
      <x:c r="A458" s="111"/>
      <x:c r="B458" s="111"/>
      <x:c r="C458" s="111"/>
      <x:c r="D458" s="112"/>
      <x:c r="E458" s="113"/>
      <x:c r="F458" s="111"/>
      <x:c r="G458" s="111"/>
      <x:c r="H458" s="114"/>
      <x:c r="I458" s="115"/>
      <x:c r="J458" s="92"/>
      <x:c r="K458" s="92"/>
      <x:c r="L458" s="92"/>
      <x:c r="M458" s="92"/>
      <x:c r="N458" s="92"/>
      <x:c r="O458" s="92"/>
      <x:c r="P458" s="92"/>
      <x:c r="Q458" s="92"/>
      <x:c r="R458" s="92"/>
      <x:c r="S458" s="92"/>
      <x:c r="T458" s="92"/>
      <x:c r="U458" s="92"/>
      <x:c r="V458" s="92"/>
      <x:c r="W458" s="92"/>
      <x:c r="X458" s="92"/>
      <x:c r="Y458" s="92"/>
      <x:c r="Z458" s="92"/>
    </x:row>
    <x:row r="459" spans="1:26">
      <x:c r="A459" s="106"/>
      <x:c r="B459" s="106"/>
      <x:c r="C459" s="106"/>
      <x:c r="D459" s="107"/>
      <x:c r="E459" s="108"/>
      <x:c r="F459" s="106"/>
      <x:c r="G459" s="106"/>
      <x:c r="H459" s="109"/>
      <x:c r="I459" s="11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</x:row>
    <x:row r="460" spans="1:26">
      <x:c r="A460" s="111"/>
      <x:c r="B460" s="111"/>
      <x:c r="C460" s="111"/>
      <x:c r="D460" s="112"/>
      <x:c r="E460" s="113"/>
      <x:c r="F460" s="111"/>
      <x:c r="G460" s="111"/>
      <x:c r="H460" s="114"/>
      <x:c r="I460" s="115"/>
      <x:c r="J460" s="92"/>
      <x:c r="K460" s="92"/>
      <x:c r="L460" s="92"/>
      <x:c r="M460" s="92"/>
      <x:c r="N460" s="92"/>
      <x:c r="O460" s="92"/>
      <x:c r="P460" s="92"/>
      <x:c r="Q460" s="92"/>
      <x:c r="R460" s="92"/>
      <x:c r="S460" s="92"/>
      <x:c r="T460" s="92"/>
      <x:c r="U460" s="92"/>
      <x:c r="V460" s="92"/>
      <x:c r="W460" s="92"/>
      <x:c r="X460" s="92"/>
      <x:c r="Y460" s="92"/>
      <x:c r="Z460" s="92"/>
    </x:row>
    <x:row r="461" spans="1:26">
      <x:c r="A461" s="106"/>
      <x:c r="B461" s="106"/>
      <x:c r="C461" s="106"/>
      <x:c r="D461" s="107"/>
      <x:c r="E461" s="108"/>
      <x:c r="F461" s="106"/>
      <x:c r="G461" s="106"/>
      <x:c r="H461" s="109"/>
      <x:c r="I461" s="11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</x:row>
    <x:row r="462" spans="1:26">
      <x:c r="A462" s="111"/>
      <x:c r="B462" s="111"/>
      <x:c r="C462" s="111"/>
      <x:c r="D462" s="112"/>
      <x:c r="E462" s="113"/>
      <x:c r="F462" s="111"/>
      <x:c r="G462" s="111"/>
      <x:c r="H462" s="114"/>
      <x:c r="I462" s="115"/>
      <x:c r="J462" s="92"/>
      <x:c r="K462" s="92"/>
      <x:c r="L462" s="92"/>
      <x:c r="M462" s="92"/>
      <x:c r="N462" s="92"/>
      <x:c r="O462" s="92"/>
      <x:c r="P462" s="92"/>
      <x:c r="Q462" s="92"/>
      <x:c r="R462" s="92"/>
      <x:c r="S462" s="92"/>
      <x:c r="T462" s="92"/>
      <x:c r="U462" s="92"/>
      <x:c r="V462" s="92"/>
      <x:c r="W462" s="92"/>
      <x:c r="X462" s="92"/>
      <x:c r="Y462" s="92"/>
      <x:c r="Z462" s="92"/>
    </x:row>
    <x:row r="463" spans="1:26">
      <x:c r="A463" s="106"/>
      <x:c r="B463" s="106"/>
      <x:c r="C463" s="106"/>
      <x:c r="D463" s="107"/>
      <x:c r="E463" s="108"/>
      <x:c r="F463" s="106"/>
      <x:c r="G463" s="106"/>
      <x:c r="H463" s="109"/>
      <x:c r="I463" s="11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</x:row>
    <x:row r="464" spans="1:26">
      <x:c r="A464" s="111"/>
      <x:c r="B464" s="111"/>
      <x:c r="C464" s="111"/>
      <x:c r="D464" s="112"/>
      <x:c r="E464" s="113"/>
      <x:c r="F464" s="111"/>
      <x:c r="G464" s="111"/>
      <x:c r="H464" s="114"/>
      <x:c r="I464" s="115"/>
      <x:c r="J464" s="92"/>
      <x:c r="K464" s="92"/>
      <x:c r="L464" s="92"/>
      <x:c r="M464" s="92"/>
      <x:c r="N464" s="92"/>
      <x:c r="O464" s="92"/>
      <x:c r="P464" s="92"/>
      <x:c r="Q464" s="92"/>
      <x:c r="R464" s="92"/>
      <x:c r="S464" s="92"/>
      <x:c r="T464" s="92"/>
      <x:c r="U464" s="92"/>
      <x:c r="V464" s="92"/>
      <x:c r="W464" s="92"/>
      <x:c r="X464" s="92"/>
      <x:c r="Y464" s="92"/>
      <x:c r="Z464" s="92"/>
    </x:row>
    <x:row r="465" spans="1:26">
      <x:c r="A465" s="106"/>
      <x:c r="B465" s="106"/>
      <x:c r="C465" s="106"/>
      <x:c r="D465" s="107"/>
      <x:c r="E465" s="108"/>
      <x:c r="F465" s="106"/>
      <x:c r="G465" s="106"/>
      <x:c r="H465" s="109"/>
      <x:c r="I465" s="11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</x:row>
    <x:row r="466" spans="1:26">
      <x:c r="A466" s="111"/>
      <x:c r="B466" s="111"/>
      <x:c r="C466" s="111"/>
      <x:c r="D466" s="112"/>
      <x:c r="E466" s="113"/>
      <x:c r="F466" s="111"/>
      <x:c r="G466" s="111"/>
      <x:c r="H466" s="114"/>
      <x:c r="I466" s="115"/>
      <x:c r="J466" s="92"/>
      <x:c r="K466" s="92"/>
      <x:c r="L466" s="92"/>
      <x:c r="M466" s="92"/>
      <x:c r="N466" s="92"/>
      <x:c r="O466" s="92"/>
      <x:c r="P466" s="92"/>
      <x:c r="Q466" s="92"/>
      <x:c r="R466" s="92"/>
      <x:c r="S466" s="92"/>
      <x:c r="T466" s="92"/>
      <x:c r="U466" s="92"/>
      <x:c r="V466" s="92"/>
      <x:c r="W466" s="92"/>
      <x:c r="X466" s="92"/>
      <x:c r="Y466" s="92"/>
      <x:c r="Z466" s="92"/>
    </x:row>
    <x:row r="467" spans="1:26">
      <x:c r="A467" s="106"/>
      <x:c r="B467" s="106"/>
      <x:c r="C467" s="106"/>
      <x:c r="D467" s="107"/>
      <x:c r="E467" s="108"/>
      <x:c r="F467" s="106"/>
      <x:c r="G467" s="106"/>
      <x:c r="H467" s="109"/>
      <x:c r="I467" s="11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</x:row>
    <x:row r="468" spans="1:26">
      <x:c r="A468" s="111"/>
      <x:c r="B468" s="111"/>
      <x:c r="C468" s="111"/>
      <x:c r="D468" s="112"/>
      <x:c r="E468" s="113"/>
      <x:c r="F468" s="111"/>
      <x:c r="G468" s="111"/>
      <x:c r="H468" s="114"/>
      <x:c r="I468" s="115"/>
      <x:c r="J468" s="92"/>
      <x:c r="K468" s="92"/>
      <x:c r="L468" s="92"/>
      <x:c r="M468" s="92"/>
      <x:c r="N468" s="92"/>
      <x:c r="O468" s="92"/>
      <x:c r="P468" s="92"/>
      <x:c r="Q468" s="92"/>
      <x:c r="R468" s="92"/>
      <x:c r="S468" s="92"/>
      <x:c r="T468" s="92"/>
      <x:c r="U468" s="92"/>
      <x:c r="V468" s="92"/>
      <x:c r="W468" s="92"/>
      <x:c r="X468" s="92"/>
      <x:c r="Y468" s="92"/>
      <x:c r="Z468" s="92"/>
    </x:row>
    <x:row r="469" spans="1:26">
      <x:c r="A469" s="106"/>
      <x:c r="B469" s="106"/>
      <x:c r="C469" s="106"/>
      <x:c r="D469" s="107"/>
      <x:c r="E469" s="108"/>
      <x:c r="F469" s="106"/>
      <x:c r="G469" s="106"/>
      <x:c r="H469" s="109"/>
      <x:c r="I469" s="11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</x:row>
    <x:row r="470" spans="1:26">
      <x:c r="A470" s="111"/>
      <x:c r="B470" s="111"/>
      <x:c r="C470" s="111"/>
      <x:c r="D470" s="112"/>
      <x:c r="E470" s="113"/>
      <x:c r="F470" s="111"/>
      <x:c r="G470" s="111"/>
      <x:c r="H470" s="114"/>
      <x:c r="I470" s="115"/>
      <x:c r="J470" s="92"/>
      <x:c r="K470" s="92"/>
      <x:c r="L470" s="92"/>
      <x:c r="M470" s="92"/>
      <x:c r="N470" s="92"/>
      <x:c r="O470" s="92"/>
      <x:c r="P470" s="92"/>
      <x:c r="Q470" s="92"/>
      <x:c r="R470" s="92"/>
      <x:c r="S470" s="92"/>
      <x:c r="T470" s="92"/>
      <x:c r="U470" s="92"/>
      <x:c r="V470" s="92"/>
      <x:c r="W470" s="92"/>
      <x:c r="X470" s="92"/>
      <x:c r="Y470" s="92"/>
      <x:c r="Z470" s="92"/>
    </x:row>
    <x:row r="471" spans="1:26">
      <x:c r="A471" s="106"/>
      <x:c r="B471" s="106"/>
      <x:c r="C471" s="106"/>
      <x:c r="D471" s="107"/>
      <x:c r="E471" s="108"/>
      <x:c r="F471" s="106"/>
      <x:c r="G471" s="106"/>
      <x:c r="H471" s="109"/>
      <x:c r="I471" s="11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</x:row>
    <x:row r="472" spans="1:26">
      <x:c r="A472" s="111"/>
      <x:c r="B472" s="111"/>
      <x:c r="C472" s="111"/>
      <x:c r="D472" s="112"/>
      <x:c r="E472" s="113"/>
      <x:c r="F472" s="111"/>
      <x:c r="G472" s="111"/>
      <x:c r="H472" s="114"/>
      <x:c r="I472" s="115"/>
      <x:c r="J472" s="92"/>
      <x:c r="K472" s="92"/>
      <x:c r="L472" s="92"/>
      <x:c r="M472" s="92"/>
      <x:c r="N472" s="92"/>
      <x:c r="O472" s="92"/>
      <x:c r="P472" s="92"/>
      <x:c r="Q472" s="92"/>
      <x:c r="R472" s="92"/>
      <x:c r="S472" s="92"/>
      <x:c r="T472" s="92"/>
      <x:c r="U472" s="92"/>
      <x:c r="V472" s="92"/>
      <x:c r="W472" s="92"/>
      <x:c r="X472" s="92"/>
      <x:c r="Y472" s="92"/>
      <x:c r="Z472" s="92"/>
    </x:row>
    <x:row r="473" spans="1:26">
      <x:c r="A473" s="106"/>
      <x:c r="B473" s="106"/>
      <x:c r="C473" s="106"/>
      <x:c r="D473" s="107"/>
      <x:c r="E473" s="108"/>
      <x:c r="F473" s="106"/>
      <x:c r="G473" s="106"/>
      <x:c r="H473" s="109"/>
      <x:c r="I473" s="11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</x:row>
    <x:row r="474" spans="1:26">
      <x:c r="A474" s="111"/>
      <x:c r="B474" s="111"/>
      <x:c r="C474" s="111"/>
      <x:c r="D474" s="112"/>
      <x:c r="E474" s="113"/>
      <x:c r="F474" s="111"/>
      <x:c r="G474" s="111"/>
      <x:c r="H474" s="114"/>
      <x:c r="I474" s="115"/>
      <x:c r="J474" s="92"/>
      <x:c r="K474" s="92"/>
      <x:c r="L474" s="92"/>
      <x:c r="M474" s="92"/>
      <x:c r="N474" s="92"/>
      <x:c r="O474" s="92"/>
      <x:c r="P474" s="92"/>
      <x:c r="Q474" s="92"/>
      <x:c r="R474" s="92"/>
      <x:c r="S474" s="92"/>
      <x:c r="T474" s="92"/>
      <x:c r="U474" s="92"/>
      <x:c r="V474" s="92"/>
      <x:c r="W474" s="92"/>
      <x:c r="X474" s="92"/>
      <x:c r="Y474" s="92"/>
      <x:c r="Z474" s="92"/>
    </x:row>
    <x:row r="475" spans="1:26">
      <x:c r="A475" s="106"/>
      <x:c r="B475" s="106"/>
      <x:c r="C475" s="106"/>
      <x:c r="D475" s="107"/>
      <x:c r="E475" s="108"/>
      <x:c r="F475" s="106"/>
      <x:c r="G475" s="106"/>
      <x:c r="H475" s="109"/>
      <x:c r="I475" s="11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</x:row>
    <x:row r="476" spans="1:26">
      <x:c r="A476" s="111"/>
      <x:c r="B476" s="111"/>
      <x:c r="C476" s="111"/>
      <x:c r="D476" s="112"/>
      <x:c r="E476" s="113"/>
      <x:c r="F476" s="111"/>
      <x:c r="G476" s="111"/>
      <x:c r="H476" s="114"/>
      <x:c r="I476" s="115"/>
      <x:c r="J476" s="92"/>
      <x:c r="K476" s="92"/>
      <x:c r="L476" s="92"/>
      <x:c r="M476" s="92"/>
      <x:c r="N476" s="92"/>
      <x:c r="O476" s="92"/>
      <x:c r="P476" s="92"/>
      <x:c r="Q476" s="92"/>
      <x:c r="R476" s="92"/>
      <x:c r="S476" s="92"/>
      <x:c r="T476" s="92"/>
      <x:c r="U476" s="92"/>
      <x:c r="V476" s="92"/>
      <x:c r="W476" s="92"/>
      <x:c r="X476" s="92"/>
      <x:c r="Y476" s="92"/>
      <x:c r="Z476" s="92"/>
    </x:row>
    <x:row r="477" spans="1:26">
      <x:c r="A477" s="106"/>
      <x:c r="B477" s="106"/>
      <x:c r="C477" s="106"/>
      <x:c r="D477" s="107"/>
      <x:c r="E477" s="108"/>
      <x:c r="F477" s="106"/>
      <x:c r="G477" s="106"/>
      <x:c r="H477" s="109"/>
      <x:c r="I477" s="11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</x:row>
    <x:row r="478" spans="1:26">
      <x:c r="A478" s="111"/>
      <x:c r="B478" s="111"/>
      <x:c r="C478" s="111"/>
      <x:c r="D478" s="112"/>
      <x:c r="E478" s="113"/>
      <x:c r="F478" s="111"/>
      <x:c r="G478" s="111"/>
      <x:c r="H478" s="114"/>
      <x:c r="I478" s="115"/>
      <x:c r="J478" s="92"/>
      <x:c r="K478" s="92"/>
      <x:c r="L478" s="92"/>
      <x:c r="M478" s="92"/>
      <x:c r="N478" s="92"/>
      <x:c r="O478" s="92"/>
      <x:c r="P478" s="92"/>
      <x:c r="Q478" s="92"/>
      <x:c r="R478" s="92"/>
      <x:c r="S478" s="92"/>
      <x:c r="T478" s="92"/>
      <x:c r="U478" s="92"/>
      <x:c r="V478" s="92"/>
      <x:c r="W478" s="92"/>
      <x:c r="X478" s="92"/>
      <x:c r="Y478" s="92"/>
      <x:c r="Z478" s="92"/>
    </x:row>
    <x:row r="479" spans="1:26">
      <x:c r="A479" s="106"/>
      <x:c r="B479" s="106"/>
      <x:c r="C479" s="106"/>
      <x:c r="D479" s="107"/>
      <x:c r="E479" s="108"/>
      <x:c r="F479" s="106"/>
      <x:c r="G479" s="106"/>
      <x:c r="H479" s="109"/>
      <x:c r="I479" s="11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</x:row>
    <x:row r="480" spans="1:26">
      <x:c r="A480" s="111"/>
      <x:c r="B480" s="111"/>
      <x:c r="C480" s="111"/>
      <x:c r="D480" s="112"/>
      <x:c r="E480" s="113"/>
      <x:c r="F480" s="111"/>
      <x:c r="G480" s="111"/>
      <x:c r="H480" s="114"/>
      <x:c r="I480" s="115"/>
      <x:c r="J480" s="92"/>
      <x:c r="K480" s="92"/>
      <x:c r="L480" s="92"/>
      <x:c r="M480" s="92"/>
      <x:c r="N480" s="92"/>
      <x:c r="O480" s="92"/>
      <x:c r="P480" s="92"/>
      <x:c r="Q480" s="92"/>
      <x:c r="R480" s="92"/>
      <x:c r="S480" s="92"/>
      <x:c r="T480" s="92"/>
      <x:c r="U480" s="92"/>
      <x:c r="V480" s="92"/>
      <x:c r="W480" s="92"/>
      <x:c r="X480" s="92"/>
      <x:c r="Y480" s="92"/>
      <x:c r="Z480" s="92"/>
    </x:row>
    <x:row r="481" spans="1:26">
      <x:c r="A481" s="106"/>
      <x:c r="B481" s="106"/>
      <x:c r="C481" s="106"/>
      <x:c r="D481" s="107"/>
      <x:c r="E481" s="108"/>
      <x:c r="F481" s="106"/>
      <x:c r="G481" s="106"/>
      <x:c r="H481" s="109"/>
      <x:c r="I481" s="11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</x:row>
    <x:row r="482" spans="1:26">
      <x:c r="A482" s="111"/>
      <x:c r="B482" s="111"/>
      <x:c r="C482" s="111"/>
      <x:c r="D482" s="112"/>
      <x:c r="E482" s="113"/>
      <x:c r="F482" s="111"/>
      <x:c r="G482" s="111"/>
      <x:c r="H482" s="114"/>
      <x:c r="I482" s="115"/>
      <x:c r="J482" s="92"/>
      <x:c r="K482" s="92"/>
      <x:c r="L482" s="92"/>
      <x:c r="M482" s="92"/>
      <x:c r="N482" s="92"/>
      <x:c r="O482" s="92"/>
      <x:c r="P482" s="92"/>
      <x:c r="Q482" s="92"/>
      <x:c r="R482" s="92"/>
      <x:c r="S482" s="92"/>
      <x:c r="T482" s="92"/>
      <x:c r="U482" s="92"/>
      <x:c r="V482" s="92"/>
      <x:c r="W482" s="92"/>
      <x:c r="X482" s="92"/>
      <x:c r="Y482" s="92"/>
      <x:c r="Z482" s="92"/>
    </x:row>
    <x:row r="483" spans="1:26">
      <x:c r="A483" s="106"/>
      <x:c r="B483" s="106"/>
      <x:c r="C483" s="106"/>
      <x:c r="D483" s="107"/>
      <x:c r="E483" s="108"/>
      <x:c r="F483" s="106"/>
      <x:c r="G483" s="106"/>
      <x:c r="H483" s="109"/>
      <x:c r="I483" s="11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</x:row>
    <x:row r="484" spans="1:26">
      <x:c r="A484" s="111"/>
      <x:c r="B484" s="111"/>
      <x:c r="C484" s="111"/>
      <x:c r="D484" s="112"/>
      <x:c r="E484" s="113"/>
      <x:c r="F484" s="111"/>
      <x:c r="G484" s="111"/>
      <x:c r="H484" s="114"/>
      <x:c r="I484" s="115"/>
      <x:c r="J484" s="92"/>
      <x:c r="K484" s="92"/>
      <x:c r="L484" s="92"/>
      <x:c r="M484" s="92"/>
      <x:c r="N484" s="92"/>
      <x:c r="O484" s="92"/>
      <x:c r="P484" s="92"/>
      <x:c r="Q484" s="92"/>
      <x:c r="R484" s="92"/>
      <x:c r="S484" s="92"/>
      <x:c r="T484" s="92"/>
      <x:c r="U484" s="92"/>
      <x:c r="V484" s="92"/>
      <x:c r="W484" s="92"/>
      <x:c r="X484" s="92"/>
      <x:c r="Y484" s="92"/>
      <x:c r="Z484" s="92"/>
    </x:row>
    <x:row r="485" spans="1:26">
      <x:c r="A485" s="106"/>
      <x:c r="B485" s="106"/>
      <x:c r="C485" s="106"/>
      <x:c r="D485" s="107"/>
      <x:c r="E485" s="108"/>
      <x:c r="F485" s="106"/>
      <x:c r="G485" s="106"/>
      <x:c r="H485" s="109"/>
      <x:c r="I485" s="11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</x:row>
    <x:row r="486" spans="1:26">
      <x:c r="A486" s="111"/>
      <x:c r="B486" s="111"/>
      <x:c r="C486" s="111"/>
      <x:c r="D486" s="112"/>
      <x:c r="E486" s="113"/>
      <x:c r="F486" s="111"/>
      <x:c r="G486" s="111"/>
      <x:c r="H486" s="114"/>
      <x:c r="I486" s="115"/>
      <x:c r="J486" s="92"/>
      <x:c r="K486" s="92"/>
      <x:c r="L486" s="92"/>
      <x:c r="M486" s="92"/>
      <x:c r="N486" s="92"/>
      <x:c r="O486" s="92"/>
      <x:c r="P486" s="92"/>
      <x:c r="Q486" s="92"/>
      <x:c r="R486" s="92"/>
      <x:c r="S486" s="92"/>
      <x:c r="T486" s="92"/>
      <x:c r="U486" s="92"/>
      <x:c r="V486" s="92"/>
      <x:c r="W486" s="92"/>
      <x:c r="X486" s="92"/>
      <x:c r="Y486" s="92"/>
      <x:c r="Z486" s="92"/>
    </x:row>
    <x:row r="487" spans="1:26">
      <x:c r="A487" s="106"/>
      <x:c r="B487" s="106"/>
      <x:c r="C487" s="106"/>
      <x:c r="D487" s="107"/>
      <x:c r="E487" s="108"/>
      <x:c r="F487" s="106"/>
      <x:c r="G487" s="106"/>
      <x:c r="H487" s="109"/>
      <x:c r="I487" s="11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</x:row>
    <x:row r="488" spans="1:26">
      <x:c r="A488" s="111"/>
      <x:c r="B488" s="111"/>
      <x:c r="C488" s="111"/>
      <x:c r="D488" s="112"/>
      <x:c r="E488" s="113"/>
      <x:c r="F488" s="111"/>
      <x:c r="G488" s="111"/>
      <x:c r="H488" s="114"/>
      <x:c r="I488" s="115"/>
      <x:c r="J488" s="92"/>
      <x:c r="K488" s="92"/>
      <x:c r="L488" s="92"/>
      <x:c r="M488" s="92"/>
      <x:c r="N488" s="92"/>
      <x:c r="O488" s="92"/>
      <x:c r="P488" s="92"/>
      <x:c r="Q488" s="92"/>
      <x:c r="R488" s="92"/>
      <x:c r="S488" s="92"/>
      <x:c r="T488" s="92"/>
      <x:c r="U488" s="92"/>
      <x:c r="V488" s="92"/>
      <x:c r="W488" s="92"/>
      <x:c r="X488" s="92"/>
      <x:c r="Y488" s="92"/>
      <x:c r="Z488" s="92"/>
    </x:row>
    <x:row r="489" spans="1:26">
      <x:c r="A489" s="106"/>
      <x:c r="B489" s="106"/>
      <x:c r="C489" s="106"/>
      <x:c r="D489" s="107"/>
      <x:c r="E489" s="108"/>
      <x:c r="F489" s="106"/>
      <x:c r="G489" s="106"/>
      <x:c r="H489" s="109"/>
      <x:c r="I489" s="11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</x:row>
    <x:row r="490" spans="1:26">
      <x:c r="A490" s="111"/>
      <x:c r="B490" s="111"/>
      <x:c r="C490" s="111"/>
      <x:c r="D490" s="112"/>
      <x:c r="E490" s="113"/>
      <x:c r="F490" s="111"/>
      <x:c r="G490" s="111"/>
      <x:c r="H490" s="114"/>
      <x:c r="I490" s="115"/>
      <x:c r="J490" s="92"/>
      <x:c r="K490" s="92"/>
      <x:c r="L490" s="92"/>
      <x:c r="M490" s="92"/>
      <x:c r="N490" s="92"/>
      <x:c r="O490" s="92"/>
      <x:c r="P490" s="92"/>
      <x:c r="Q490" s="92"/>
      <x:c r="R490" s="92"/>
      <x:c r="S490" s="92"/>
      <x:c r="T490" s="92"/>
      <x:c r="U490" s="92"/>
      <x:c r="V490" s="92"/>
      <x:c r="W490" s="92"/>
      <x:c r="X490" s="92"/>
      <x:c r="Y490" s="92"/>
      <x:c r="Z490" s="92"/>
    </x:row>
    <x:row r="491" spans="1:26">
      <x:c r="A491" s="106"/>
      <x:c r="B491" s="106"/>
      <x:c r="C491" s="106"/>
      <x:c r="D491" s="107"/>
      <x:c r="E491" s="108"/>
      <x:c r="F491" s="106"/>
      <x:c r="G491" s="106"/>
      <x:c r="H491" s="109"/>
      <x:c r="I491" s="11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</x:row>
    <x:row r="492" spans="1:26">
      <x:c r="A492" s="111"/>
      <x:c r="B492" s="111"/>
      <x:c r="C492" s="111"/>
      <x:c r="D492" s="112"/>
      <x:c r="E492" s="113"/>
      <x:c r="F492" s="111"/>
      <x:c r="G492" s="111"/>
      <x:c r="H492" s="114"/>
      <x:c r="I492" s="115"/>
      <x:c r="J492" s="92"/>
      <x:c r="K492" s="92"/>
      <x:c r="L492" s="92"/>
      <x:c r="M492" s="92"/>
      <x:c r="N492" s="92"/>
      <x:c r="O492" s="92"/>
      <x:c r="P492" s="92"/>
      <x:c r="Q492" s="92"/>
      <x:c r="R492" s="92"/>
      <x:c r="S492" s="92"/>
      <x:c r="T492" s="92"/>
      <x:c r="U492" s="92"/>
      <x:c r="V492" s="92"/>
      <x:c r="W492" s="92"/>
      <x:c r="X492" s="92"/>
      <x:c r="Y492" s="92"/>
      <x:c r="Z492" s="92"/>
    </x:row>
    <x:row r="493" spans="1:26">
      <x:c r="A493" s="106"/>
      <x:c r="B493" s="106"/>
      <x:c r="C493" s="106"/>
      <x:c r="D493" s="107"/>
      <x:c r="E493" s="108"/>
      <x:c r="F493" s="106"/>
      <x:c r="G493" s="106"/>
      <x:c r="H493" s="109"/>
      <x:c r="I493" s="11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</x:row>
    <x:row r="494" spans="1:26">
      <x:c r="A494" s="111"/>
      <x:c r="B494" s="111"/>
      <x:c r="C494" s="111"/>
      <x:c r="D494" s="112"/>
      <x:c r="E494" s="113"/>
      <x:c r="F494" s="111"/>
      <x:c r="G494" s="111"/>
      <x:c r="H494" s="114"/>
      <x:c r="I494" s="115"/>
      <x:c r="J494" s="92"/>
      <x:c r="K494" s="92"/>
      <x:c r="L494" s="92"/>
      <x:c r="M494" s="92"/>
      <x:c r="N494" s="92"/>
      <x:c r="O494" s="92"/>
      <x:c r="P494" s="92"/>
      <x:c r="Q494" s="92"/>
      <x:c r="R494" s="92"/>
      <x:c r="S494" s="92"/>
      <x:c r="T494" s="92"/>
      <x:c r="U494" s="92"/>
      <x:c r="V494" s="92"/>
      <x:c r="W494" s="92"/>
      <x:c r="X494" s="92"/>
      <x:c r="Y494" s="92"/>
      <x:c r="Z494" s="92"/>
    </x:row>
    <x:row r="495" spans="1:26">
      <x:c r="A495" s="106"/>
      <x:c r="B495" s="106"/>
      <x:c r="C495" s="106"/>
      <x:c r="D495" s="107"/>
      <x:c r="E495" s="108"/>
      <x:c r="F495" s="106"/>
      <x:c r="G495" s="106"/>
      <x:c r="H495" s="109"/>
      <x:c r="I495" s="11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</x:row>
    <x:row r="496" spans="1:26">
      <x:c r="A496" s="111"/>
      <x:c r="B496" s="111"/>
      <x:c r="C496" s="111"/>
      <x:c r="D496" s="112"/>
      <x:c r="E496" s="113"/>
      <x:c r="F496" s="111"/>
      <x:c r="G496" s="111"/>
      <x:c r="H496" s="114"/>
      <x:c r="I496" s="115"/>
      <x:c r="J496" s="92"/>
      <x:c r="K496" s="92"/>
      <x:c r="L496" s="92"/>
      <x:c r="M496" s="92"/>
      <x:c r="N496" s="92"/>
      <x:c r="O496" s="92"/>
      <x:c r="P496" s="92"/>
      <x:c r="Q496" s="92"/>
      <x:c r="R496" s="92"/>
      <x:c r="S496" s="92"/>
      <x:c r="T496" s="92"/>
      <x:c r="U496" s="92"/>
      <x:c r="V496" s="92"/>
      <x:c r="W496" s="92"/>
      <x:c r="X496" s="92"/>
      <x:c r="Y496" s="92"/>
      <x:c r="Z496" s="92"/>
    </x:row>
    <x:row r="497" spans="1:26">
      <x:c r="A497" s="106"/>
      <x:c r="B497" s="106"/>
      <x:c r="C497" s="106"/>
      <x:c r="D497" s="107"/>
      <x:c r="E497" s="108"/>
      <x:c r="F497" s="106"/>
      <x:c r="G497" s="106"/>
      <x:c r="H497" s="109"/>
      <x:c r="I497" s="11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</x:row>
    <x:row r="498" spans="1:26">
      <x:c r="A498" s="111"/>
      <x:c r="B498" s="111"/>
      <x:c r="C498" s="111"/>
      <x:c r="D498" s="112"/>
      <x:c r="E498" s="113"/>
      <x:c r="F498" s="111"/>
      <x:c r="G498" s="111"/>
      <x:c r="H498" s="114"/>
      <x:c r="I498" s="115"/>
      <x:c r="J498" s="92"/>
      <x:c r="K498" s="92"/>
      <x:c r="L498" s="92"/>
      <x:c r="M498" s="92"/>
      <x:c r="N498" s="92"/>
      <x:c r="O498" s="92"/>
      <x:c r="P498" s="92"/>
      <x:c r="Q498" s="92"/>
      <x:c r="R498" s="92"/>
      <x:c r="S498" s="92"/>
      <x:c r="T498" s="92"/>
      <x:c r="U498" s="92"/>
      <x:c r="V498" s="92"/>
      <x:c r="W498" s="92"/>
      <x:c r="X498" s="92"/>
      <x:c r="Y498" s="92"/>
      <x:c r="Z498" s="92"/>
    </x:row>
    <x:row r="499" spans="1:26">
      <x:c r="A499" s="106"/>
      <x:c r="B499" s="106"/>
      <x:c r="C499" s="106"/>
      <x:c r="D499" s="107"/>
      <x:c r="E499" s="108"/>
      <x:c r="F499" s="106"/>
      <x:c r="G499" s="106"/>
      <x:c r="H499" s="109"/>
      <x:c r="I499" s="11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</x:row>
    <x:row r="500" spans="1:26">
      <x:c r="A500" s="111"/>
      <x:c r="B500" s="111"/>
      <x:c r="C500" s="111"/>
      <x:c r="D500" s="112"/>
      <x:c r="E500" s="113"/>
      <x:c r="F500" s="111"/>
      <x:c r="G500" s="111"/>
      <x:c r="H500" s="114"/>
      <x:c r="I500" s="115"/>
      <x:c r="J500" s="92"/>
      <x:c r="K500" s="92"/>
      <x:c r="L500" s="92"/>
      <x:c r="M500" s="92"/>
      <x:c r="N500" s="92"/>
      <x:c r="O500" s="92"/>
      <x:c r="P500" s="92"/>
      <x:c r="Q500" s="92"/>
      <x:c r="R500" s="92"/>
      <x:c r="S500" s="92"/>
      <x:c r="T500" s="92"/>
      <x:c r="U500" s="92"/>
      <x:c r="V500" s="92"/>
      <x:c r="W500" s="92"/>
      <x:c r="X500" s="92"/>
      <x:c r="Y500" s="92"/>
      <x:c r="Z500" s="92"/>
    </x:row>
    <x:row r="501" spans="1:26">
      <x:c r="A501" s="106"/>
      <x:c r="B501" s="106"/>
      <x:c r="C501" s="106"/>
      <x:c r="D501" s="107"/>
      <x:c r="E501" s="108"/>
      <x:c r="F501" s="106"/>
      <x:c r="G501" s="106"/>
      <x:c r="H501" s="109"/>
      <x:c r="I501" s="110"/>
      <x:c r="J501" s="100"/>
      <x:c r="K501" s="100"/>
      <x:c r="L501" s="100"/>
      <x:c r="M501" s="100"/>
      <x:c r="N501" s="100"/>
      <x:c r="O501" s="100"/>
      <x:c r="P501" s="100"/>
      <x:c r="Q501" s="100"/>
      <x:c r="R501" s="100"/>
      <x:c r="S501" s="100"/>
      <x:c r="T501" s="100"/>
      <x:c r="U501" s="100"/>
      <x:c r="V501" s="100"/>
      <x:c r="W501" s="100"/>
      <x:c r="X501" s="100"/>
      <x:c r="Y501" s="100"/>
      <x:c r="Z501" s="100"/>
    </x:row>
    <x:row r="502" spans="1:26">
      <x:c r="A502" s="111"/>
      <x:c r="B502" s="111"/>
      <x:c r="C502" s="111"/>
      <x:c r="D502" s="112"/>
      <x:c r="E502" s="113"/>
      <x:c r="F502" s="111"/>
      <x:c r="G502" s="111"/>
      <x:c r="H502" s="114"/>
      <x:c r="I502" s="115"/>
      <x:c r="J502" s="92"/>
      <x:c r="K502" s="92"/>
      <x:c r="L502" s="92"/>
      <x:c r="M502" s="92"/>
      <x:c r="N502" s="92"/>
      <x:c r="O502" s="92"/>
      <x:c r="P502" s="92"/>
      <x:c r="Q502" s="92"/>
      <x:c r="R502" s="92"/>
      <x:c r="S502" s="92"/>
      <x:c r="T502" s="92"/>
      <x:c r="U502" s="92"/>
      <x:c r="V502" s="92"/>
      <x:c r="W502" s="92"/>
      <x:c r="X502" s="92"/>
      <x:c r="Y502" s="92"/>
      <x:c r="Z502" s="92"/>
    </x:row>
    <x:row r="503" spans="1:26">
      <x:c r="A503" s="106"/>
      <x:c r="B503" s="106"/>
      <x:c r="C503" s="106"/>
      <x:c r="D503" s="107"/>
      <x:c r="E503" s="108"/>
      <x:c r="F503" s="106"/>
      <x:c r="G503" s="106"/>
      <x:c r="H503" s="109"/>
      <x:c r="I503" s="110"/>
      <x:c r="J503" s="100"/>
      <x:c r="K503" s="100"/>
      <x:c r="L503" s="100"/>
      <x:c r="M503" s="100"/>
      <x:c r="N503" s="100"/>
      <x:c r="O503" s="100"/>
      <x:c r="P503" s="100"/>
      <x:c r="Q503" s="100"/>
      <x:c r="R503" s="100"/>
      <x:c r="S503" s="100"/>
      <x:c r="T503" s="100"/>
      <x:c r="U503" s="100"/>
      <x:c r="V503" s="100"/>
      <x:c r="W503" s="100"/>
      <x:c r="X503" s="100"/>
      <x:c r="Y503" s="100"/>
      <x:c r="Z503" s="100"/>
    </x:row>
    <x:row r="504" spans="1:26">
      <x:c r="A504" s="111"/>
      <x:c r="B504" s="111"/>
      <x:c r="C504" s="111"/>
      <x:c r="D504" s="112"/>
      <x:c r="E504" s="113"/>
      <x:c r="F504" s="111"/>
      <x:c r="G504" s="111"/>
      <x:c r="H504" s="114"/>
      <x:c r="I504" s="115"/>
      <x:c r="J504" s="92"/>
      <x:c r="K504" s="92"/>
      <x:c r="L504" s="92"/>
      <x:c r="M504" s="92"/>
      <x:c r="N504" s="92"/>
      <x:c r="O504" s="92"/>
      <x:c r="P504" s="92"/>
      <x:c r="Q504" s="92"/>
      <x:c r="R504" s="92"/>
      <x:c r="S504" s="92"/>
      <x:c r="T504" s="92"/>
      <x:c r="U504" s="92"/>
      <x:c r="V504" s="92"/>
      <x:c r="W504" s="92"/>
      <x:c r="X504" s="92"/>
      <x:c r="Y504" s="92"/>
      <x:c r="Z504" s="92"/>
    </x:row>
    <x:row r="505" spans="1:26">
      <x:c r="A505" s="106"/>
      <x:c r="B505" s="106"/>
      <x:c r="C505" s="106"/>
      <x:c r="D505" s="107"/>
      <x:c r="E505" s="108"/>
      <x:c r="F505" s="106"/>
      <x:c r="G505" s="106"/>
      <x:c r="H505" s="109"/>
      <x:c r="I505" s="110"/>
      <x:c r="J505" s="100"/>
      <x:c r="K505" s="100"/>
      <x:c r="L505" s="100"/>
      <x:c r="M505" s="100"/>
      <x:c r="N505" s="100"/>
      <x:c r="O505" s="100"/>
      <x:c r="P505" s="100"/>
      <x:c r="Q505" s="100"/>
      <x:c r="R505" s="100"/>
      <x:c r="S505" s="100"/>
      <x:c r="T505" s="100"/>
      <x:c r="U505" s="100"/>
      <x:c r="V505" s="100"/>
      <x:c r="W505" s="100"/>
      <x:c r="X505" s="100"/>
      <x:c r="Y505" s="100"/>
      <x:c r="Z505" s="100"/>
    </x:row>
    <x:row r="506" spans="1:26">
      <x:c r="A506" s="111"/>
      <x:c r="B506" s="111"/>
      <x:c r="C506" s="111"/>
      <x:c r="D506" s="112"/>
      <x:c r="E506" s="113"/>
      <x:c r="F506" s="111"/>
      <x:c r="G506" s="111"/>
      <x:c r="H506" s="114"/>
      <x:c r="I506" s="115"/>
      <x:c r="J506" s="92"/>
      <x:c r="K506" s="92"/>
      <x:c r="L506" s="92"/>
      <x:c r="M506" s="92"/>
      <x:c r="N506" s="92"/>
      <x:c r="O506" s="92"/>
      <x:c r="P506" s="92"/>
      <x:c r="Q506" s="92"/>
      <x:c r="R506" s="92"/>
      <x:c r="S506" s="92"/>
      <x:c r="T506" s="92"/>
      <x:c r="U506" s="92"/>
      <x:c r="V506" s="92"/>
      <x:c r="W506" s="92"/>
      <x:c r="X506" s="92"/>
      <x:c r="Y506" s="92"/>
      <x:c r="Z506" s="92"/>
    </x:row>
    <x:row r="507" spans="1:26">
      <x:c r="A507" s="106"/>
      <x:c r="B507" s="106"/>
      <x:c r="C507" s="106"/>
      <x:c r="D507" s="107"/>
      <x:c r="E507" s="108"/>
      <x:c r="F507" s="106"/>
      <x:c r="G507" s="106"/>
      <x:c r="H507" s="109"/>
      <x:c r="I507" s="110"/>
      <x:c r="J507" s="100"/>
      <x:c r="K507" s="100"/>
      <x:c r="L507" s="100"/>
      <x:c r="M507" s="100"/>
      <x:c r="N507" s="100"/>
      <x:c r="O507" s="100"/>
      <x:c r="P507" s="100"/>
      <x:c r="Q507" s="100"/>
      <x:c r="R507" s="100"/>
      <x:c r="S507" s="100"/>
      <x:c r="T507" s="100"/>
      <x:c r="U507" s="100"/>
      <x:c r="V507" s="100"/>
      <x:c r="W507" s="100"/>
      <x:c r="X507" s="100"/>
      <x:c r="Y507" s="100"/>
      <x:c r="Z507" s="100"/>
    </x:row>
    <x:row r="508" spans="1:26">
      <x:c r="A508" s="111"/>
      <x:c r="B508" s="111"/>
      <x:c r="C508" s="111"/>
      <x:c r="D508" s="112"/>
      <x:c r="E508" s="113"/>
      <x:c r="F508" s="111"/>
      <x:c r="G508" s="111"/>
      <x:c r="H508" s="114"/>
      <x:c r="I508" s="115"/>
      <x:c r="J508" s="92"/>
      <x:c r="K508" s="92"/>
      <x:c r="L508" s="92"/>
      <x:c r="M508" s="92"/>
      <x:c r="N508" s="92"/>
      <x:c r="O508" s="92"/>
      <x:c r="P508" s="92"/>
      <x:c r="Q508" s="92"/>
      <x:c r="R508" s="92"/>
      <x:c r="S508" s="92"/>
      <x:c r="T508" s="92"/>
      <x:c r="U508" s="92"/>
      <x:c r="V508" s="92"/>
      <x:c r="W508" s="92"/>
      <x:c r="X508" s="92"/>
      <x:c r="Y508" s="92"/>
      <x:c r="Z508" s="92"/>
    </x:row>
    <x:row r="509" spans="1:26">
      <x:c r="A509" s="106"/>
      <x:c r="B509" s="106"/>
      <x:c r="C509" s="106"/>
      <x:c r="D509" s="107"/>
      <x:c r="E509" s="108"/>
      <x:c r="F509" s="106"/>
      <x:c r="G509" s="106"/>
      <x:c r="H509" s="109"/>
      <x:c r="I509" s="110"/>
      <x:c r="J509" s="100"/>
      <x:c r="K509" s="100"/>
      <x:c r="L509" s="100"/>
      <x:c r="M509" s="100"/>
      <x:c r="N509" s="100"/>
      <x:c r="O509" s="100"/>
      <x:c r="P509" s="100"/>
      <x:c r="Q509" s="100"/>
      <x:c r="R509" s="100"/>
      <x:c r="S509" s="100"/>
      <x:c r="T509" s="100"/>
      <x:c r="U509" s="100"/>
      <x:c r="V509" s="100"/>
      <x:c r="W509" s="100"/>
      <x:c r="X509" s="100"/>
      <x:c r="Y509" s="100"/>
      <x:c r="Z509" s="100"/>
    </x:row>
    <x:row r="510" spans="1:26">
      <x:c r="A510" s="111"/>
      <x:c r="B510" s="111"/>
      <x:c r="C510" s="111"/>
      <x:c r="D510" s="112"/>
      <x:c r="E510" s="113"/>
      <x:c r="F510" s="111"/>
      <x:c r="G510" s="111"/>
      <x:c r="H510" s="114"/>
      <x:c r="I510" s="115"/>
      <x:c r="J510" s="92"/>
      <x:c r="K510" s="92"/>
      <x:c r="L510" s="92"/>
      <x:c r="M510" s="92"/>
      <x:c r="N510" s="92"/>
      <x:c r="O510" s="92"/>
      <x:c r="P510" s="92"/>
      <x:c r="Q510" s="92"/>
      <x:c r="R510" s="92"/>
      <x:c r="S510" s="92"/>
      <x:c r="T510" s="92"/>
      <x:c r="U510" s="92"/>
      <x:c r="V510" s="92"/>
      <x:c r="W510" s="92"/>
      <x:c r="X510" s="92"/>
      <x:c r="Y510" s="92"/>
      <x:c r="Z510" s="92"/>
    </x:row>
    <x:row r="511" spans="1:26">
      <x:c r="A511" s="106"/>
      <x:c r="B511" s="106"/>
      <x:c r="C511" s="106"/>
      <x:c r="D511" s="107"/>
      <x:c r="E511" s="108"/>
      <x:c r="F511" s="106"/>
      <x:c r="G511" s="106"/>
      <x:c r="H511" s="109"/>
      <x:c r="I511" s="110"/>
      <x:c r="J511" s="100"/>
      <x:c r="K511" s="100"/>
      <x:c r="L511" s="100"/>
      <x:c r="M511" s="100"/>
      <x:c r="N511" s="100"/>
      <x:c r="O511" s="100"/>
      <x:c r="P511" s="100"/>
      <x:c r="Q511" s="100"/>
      <x:c r="R511" s="100"/>
      <x:c r="S511" s="100"/>
      <x:c r="T511" s="100"/>
      <x:c r="U511" s="100"/>
      <x:c r="V511" s="100"/>
      <x:c r="W511" s="100"/>
      <x:c r="X511" s="100"/>
      <x:c r="Y511" s="100"/>
      <x:c r="Z511" s="100"/>
    </x:row>
    <x:row r="512" spans="1:26">
      <x:c r="A512" s="111"/>
      <x:c r="B512" s="111"/>
      <x:c r="C512" s="111"/>
      <x:c r="D512" s="112"/>
      <x:c r="E512" s="113"/>
      <x:c r="F512" s="111"/>
      <x:c r="G512" s="111"/>
      <x:c r="H512" s="114"/>
      <x:c r="I512" s="115"/>
      <x:c r="J512" s="92"/>
      <x:c r="K512" s="92"/>
      <x:c r="L512" s="92"/>
      <x:c r="M512" s="92"/>
      <x:c r="N512" s="92"/>
      <x:c r="O512" s="92"/>
      <x:c r="P512" s="92"/>
      <x:c r="Q512" s="92"/>
      <x:c r="R512" s="92"/>
      <x:c r="S512" s="92"/>
      <x:c r="T512" s="92"/>
      <x:c r="U512" s="92"/>
      <x:c r="V512" s="92"/>
      <x:c r="W512" s="92"/>
      <x:c r="X512" s="92"/>
      <x:c r="Y512" s="92"/>
      <x:c r="Z512" s="92"/>
    </x:row>
    <x:row r="513" spans="1:26">
      <x:c r="A513" s="106"/>
      <x:c r="B513" s="106"/>
      <x:c r="C513" s="106"/>
      <x:c r="D513" s="107"/>
      <x:c r="E513" s="108"/>
      <x:c r="F513" s="106"/>
      <x:c r="G513" s="106"/>
      <x:c r="H513" s="109"/>
      <x:c r="I513" s="110"/>
      <x:c r="J513" s="100"/>
      <x:c r="K513" s="100"/>
      <x:c r="L513" s="100"/>
      <x:c r="M513" s="100"/>
      <x:c r="N513" s="100"/>
      <x:c r="O513" s="100"/>
      <x:c r="P513" s="100"/>
      <x:c r="Q513" s="100"/>
      <x:c r="R513" s="100"/>
      <x:c r="S513" s="100"/>
      <x:c r="T513" s="100"/>
      <x:c r="U513" s="100"/>
      <x:c r="V513" s="100"/>
      <x:c r="W513" s="100"/>
      <x:c r="X513" s="100"/>
      <x:c r="Y513" s="100"/>
      <x:c r="Z513" s="100"/>
    </x:row>
    <x:row r="514" spans="1:26">
      <x:c r="A514" s="111"/>
      <x:c r="B514" s="111"/>
      <x:c r="C514" s="111"/>
      <x:c r="D514" s="112"/>
      <x:c r="E514" s="113"/>
      <x:c r="F514" s="111"/>
      <x:c r="G514" s="111"/>
      <x:c r="H514" s="114"/>
      <x:c r="I514" s="115"/>
      <x:c r="J514" s="92"/>
      <x:c r="K514" s="92"/>
      <x:c r="L514" s="92"/>
      <x:c r="M514" s="92"/>
      <x:c r="N514" s="92"/>
      <x:c r="O514" s="92"/>
      <x:c r="P514" s="92"/>
      <x:c r="Q514" s="92"/>
      <x:c r="R514" s="92"/>
      <x:c r="S514" s="92"/>
      <x:c r="T514" s="92"/>
      <x:c r="U514" s="92"/>
      <x:c r="V514" s="92"/>
      <x:c r="W514" s="92"/>
      <x:c r="X514" s="92"/>
      <x:c r="Y514" s="92"/>
      <x:c r="Z514" s="92"/>
    </x:row>
    <x:row r="515" spans="1:26">
      <x:c r="A515" s="106"/>
      <x:c r="B515" s="106"/>
      <x:c r="C515" s="106"/>
      <x:c r="D515" s="107"/>
      <x:c r="E515" s="108"/>
      <x:c r="F515" s="106"/>
      <x:c r="G515" s="106"/>
      <x:c r="H515" s="109"/>
      <x:c r="I515" s="110"/>
      <x:c r="J515" s="100"/>
      <x:c r="K515" s="100"/>
      <x:c r="L515" s="100"/>
      <x:c r="M515" s="100"/>
      <x:c r="N515" s="100"/>
      <x:c r="O515" s="100"/>
      <x:c r="P515" s="100"/>
      <x:c r="Q515" s="100"/>
      <x:c r="R515" s="100"/>
      <x:c r="S515" s="100"/>
      <x:c r="T515" s="100"/>
      <x:c r="U515" s="100"/>
      <x:c r="V515" s="100"/>
      <x:c r="W515" s="100"/>
      <x:c r="X515" s="100"/>
      <x:c r="Y515" s="100"/>
      <x:c r="Z515" s="100"/>
    </x:row>
    <x:row r="516" spans="1:26">
      <x:c r="A516" s="111"/>
      <x:c r="B516" s="111"/>
      <x:c r="C516" s="111"/>
      <x:c r="D516" s="112"/>
      <x:c r="E516" s="113"/>
      <x:c r="F516" s="111"/>
      <x:c r="G516" s="111"/>
      <x:c r="H516" s="114"/>
      <x:c r="I516" s="115"/>
      <x:c r="J516" s="92"/>
      <x:c r="K516" s="92"/>
      <x:c r="L516" s="92"/>
      <x:c r="M516" s="92"/>
      <x:c r="N516" s="92"/>
      <x:c r="O516" s="92"/>
      <x:c r="P516" s="92"/>
      <x:c r="Q516" s="92"/>
      <x:c r="R516" s="92"/>
      <x:c r="S516" s="92"/>
      <x:c r="T516" s="92"/>
      <x:c r="U516" s="92"/>
      <x:c r="V516" s="92"/>
      <x:c r="W516" s="92"/>
      <x:c r="X516" s="92"/>
      <x:c r="Y516" s="92"/>
      <x:c r="Z516" s="92"/>
    </x:row>
    <x:row r="517" spans="1:26">
      <x:c r="A517" s="106"/>
      <x:c r="B517" s="106"/>
      <x:c r="C517" s="106"/>
      <x:c r="D517" s="107"/>
      <x:c r="E517" s="108"/>
      <x:c r="F517" s="106"/>
      <x:c r="G517" s="106"/>
      <x:c r="H517" s="109"/>
      <x:c r="I517" s="110"/>
      <x:c r="J517" s="100"/>
      <x:c r="K517" s="100"/>
      <x:c r="L517" s="100"/>
      <x:c r="M517" s="100"/>
      <x:c r="N517" s="100"/>
      <x:c r="O517" s="100"/>
      <x:c r="P517" s="100"/>
      <x:c r="Q517" s="100"/>
      <x:c r="R517" s="100"/>
      <x:c r="S517" s="100"/>
      <x:c r="T517" s="100"/>
      <x:c r="U517" s="100"/>
      <x:c r="V517" s="100"/>
      <x:c r="W517" s="100"/>
      <x:c r="X517" s="100"/>
      <x:c r="Y517" s="100"/>
      <x:c r="Z517" s="100"/>
    </x:row>
    <x:row r="518" spans="1:26">
      <x:c r="A518" s="111"/>
      <x:c r="B518" s="111"/>
      <x:c r="C518" s="111"/>
      <x:c r="D518" s="112"/>
      <x:c r="E518" s="113"/>
      <x:c r="F518" s="111"/>
      <x:c r="G518" s="111"/>
      <x:c r="H518" s="114"/>
      <x:c r="I518" s="115"/>
      <x:c r="J518" s="92"/>
      <x:c r="K518" s="92"/>
      <x:c r="L518" s="92"/>
      <x:c r="M518" s="92"/>
      <x:c r="N518" s="92"/>
      <x:c r="O518" s="92"/>
      <x:c r="P518" s="92"/>
      <x:c r="Q518" s="92"/>
      <x:c r="R518" s="92"/>
      <x:c r="S518" s="92"/>
      <x:c r="T518" s="92"/>
      <x:c r="U518" s="92"/>
      <x:c r="V518" s="92"/>
      <x:c r="W518" s="92"/>
      <x:c r="X518" s="92"/>
      <x:c r="Y518" s="92"/>
      <x:c r="Z518" s="92"/>
    </x:row>
    <x:row r="519" spans="1:26">
      <x:c r="A519" s="106"/>
      <x:c r="B519" s="106"/>
      <x:c r="C519" s="106"/>
      <x:c r="D519" s="107"/>
      <x:c r="E519" s="108"/>
      <x:c r="F519" s="106"/>
      <x:c r="G519" s="106"/>
      <x:c r="H519" s="109"/>
      <x:c r="I519" s="110"/>
      <x:c r="J519" s="100"/>
      <x:c r="K519" s="100"/>
      <x:c r="L519" s="100"/>
      <x:c r="M519" s="100"/>
      <x:c r="N519" s="100"/>
      <x:c r="O519" s="100"/>
      <x:c r="P519" s="100"/>
      <x:c r="Q519" s="100"/>
      <x:c r="R519" s="100"/>
      <x:c r="S519" s="100"/>
      <x:c r="T519" s="100"/>
      <x:c r="U519" s="100"/>
      <x:c r="V519" s="100"/>
      <x:c r="W519" s="100"/>
      <x:c r="X519" s="100"/>
      <x:c r="Y519" s="100"/>
      <x:c r="Z519" s="100"/>
    </x:row>
    <x:row r="520" spans="1:26">
      <x:c r="A520" s="111"/>
      <x:c r="B520" s="111"/>
      <x:c r="C520" s="111"/>
      <x:c r="D520" s="112"/>
      <x:c r="E520" s="113"/>
      <x:c r="F520" s="111"/>
      <x:c r="G520" s="111"/>
      <x:c r="H520" s="114"/>
      <x:c r="I520" s="115"/>
      <x:c r="J520" s="92"/>
      <x:c r="K520" s="92"/>
      <x:c r="L520" s="92"/>
      <x:c r="M520" s="92"/>
      <x:c r="N520" s="92"/>
      <x:c r="O520" s="92"/>
      <x:c r="P520" s="92"/>
      <x:c r="Q520" s="92"/>
      <x:c r="R520" s="92"/>
      <x:c r="S520" s="92"/>
      <x:c r="T520" s="92"/>
      <x:c r="U520" s="92"/>
      <x:c r="V520" s="92"/>
      <x:c r="W520" s="92"/>
      <x:c r="X520" s="92"/>
      <x:c r="Y520" s="92"/>
      <x:c r="Z520" s="92"/>
    </x:row>
    <x:row r="521" spans="1:26">
      <x:c r="A521" s="106"/>
      <x:c r="B521" s="106"/>
      <x:c r="C521" s="106"/>
      <x:c r="D521" s="107"/>
      <x:c r="E521" s="108"/>
      <x:c r="F521" s="106"/>
      <x:c r="G521" s="106"/>
      <x:c r="H521" s="109"/>
      <x:c r="I521" s="110"/>
      <x:c r="J521" s="100"/>
      <x:c r="K521" s="100"/>
      <x:c r="L521" s="100"/>
      <x:c r="M521" s="100"/>
      <x:c r="N521" s="100"/>
      <x:c r="O521" s="100"/>
      <x:c r="P521" s="100"/>
      <x:c r="Q521" s="100"/>
      <x:c r="R521" s="100"/>
      <x:c r="S521" s="100"/>
      <x:c r="T521" s="100"/>
      <x:c r="U521" s="100"/>
      <x:c r="V521" s="100"/>
      <x:c r="W521" s="100"/>
      <x:c r="X521" s="100"/>
      <x:c r="Y521" s="100"/>
      <x:c r="Z521" s="100"/>
    </x:row>
    <x:row r="522" spans="1:26">
      <x:c r="A522" s="111"/>
      <x:c r="B522" s="111"/>
      <x:c r="C522" s="111"/>
      <x:c r="D522" s="112"/>
      <x:c r="E522" s="113"/>
      <x:c r="F522" s="111"/>
      <x:c r="G522" s="111"/>
      <x:c r="H522" s="114"/>
      <x:c r="I522" s="115"/>
      <x:c r="J522" s="92"/>
      <x:c r="K522" s="92"/>
      <x:c r="L522" s="92"/>
      <x:c r="M522" s="92"/>
      <x:c r="N522" s="92"/>
      <x:c r="O522" s="92"/>
      <x:c r="P522" s="92"/>
      <x:c r="Q522" s="92"/>
      <x:c r="R522" s="92"/>
      <x:c r="S522" s="92"/>
      <x:c r="T522" s="92"/>
      <x:c r="U522" s="92"/>
      <x:c r="V522" s="92"/>
      <x:c r="W522" s="92"/>
      <x:c r="X522" s="92"/>
      <x:c r="Y522" s="92"/>
      <x:c r="Z522" s="92"/>
    </x:row>
    <x:row r="523" spans="1:26">
      <x:c r="A523" s="106"/>
      <x:c r="B523" s="106"/>
      <x:c r="C523" s="106"/>
      <x:c r="D523" s="107"/>
      <x:c r="E523" s="108"/>
      <x:c r="F523" s="106"/>
      <x:c r="G523" s="106"/>
      <x:c r="H523" s="109"/>
      <x:c r="I523" s="110"/>
      <x:c r="J523" s="100"/>
      <x:c r="K523" s="100"/>
      <x:c r="L523" s="100"/>
      <x:c r="M523" s="100"/>
      <x:c r="N523" s="100"/>
      <x:c r="O523" s="100"/>
      <x:c r="P523" s="100"/>
      <x:c r="Q523" s="100"/>
      <x:c r="R523" s="100"/>
      <x:c r="S523" s="100"/>
      <x:c r="T523" s="100"/>
      <x:c r="U523" s="100"/>
      <x:c r="V523" s="100"/>
      <x:c r="W523" s="100"/>
      <x:c r="X523" s="100"/>
      <x:c r="Y523" s="100"/>
      <x:c r="Z523" s="100"/>
    </x:row>
    <x:row r="524" spans="1:26">
      <x:c r="A524" s="111"/>
      <x:c r="B524" s="111"/>
      <x:c r="C524" s="111"/>
      <x:c r="D524" s="112"/>
      <x:c r="E524" s="113"/>
      <x:c r="F524" s="111"/>
      <x:c r="G524" s="111"/>
      <x:c r="H524" s="114"/>
      <x:c r="I524" s="115"/>
      <x:c r="J524" s="92"/>
      <x:c r="K524" s="92"/>
      <x:c r="L524" s="92"/>
      <x:c r="M524" s="92"/>
      <x:c r="N524" s="92"/>
      <x:c r="O524" s="92"/>
      <x:c r="P524" s="92"/>
      <x:c r="Q524" s="92"/>
      <x:c r="R524" s="92"/>
      <x:c r="S524" s="92"/>
      <x:c r="T524" s="92"/>
      <x:c r="U524" s="92"/>
      <x:c r="V524" s="92"/>
      <x:c r="W524" s="92"/>
      <x:c r="X524" s="92"/>
      <x:c r="Y524" s="92"/>
      <x:c r="Z524" s="92"/>
    </x:row>
    <x:row r="525" spans="1:26">
      <x:c r="A525" s="106"/>
      <x:c r="B525" s="106"/>
      <x:c r="C525" s="106"/>
      <x:c r="D525" s="107"/>
      <x:c r="E525" s="108"/>
      <x:c r="F525" s="106"/>
      <x:c r="G525" s="106"/>
      <x:c r="H525" s="109"/>
      <x:c r="I525" s="110"/>
      <x:c r="J525" s="100"/>
      <x:c r="K525" s="100"/>
      <x:c r="L525" s="100"/>
      <x:c r="M525" s="100"/>
      <x:c r="N525" s="100"/>
      <x:c r="O525" s="100"/>
      <x:c r="P525" s="100"/>
      <x:c r="Q525" s="100"/>
      <x:c r="R525" s="100"/>
      <x:c r="S525" s="100"/>
      <x:c r="T525" s="100"/>
      <x:c r="U525" s="100"/>
      <x:c r="V525" s="100"/>
      <x:c r="W525" s="100"/>
      <x:c r="X525" s="100"/>
      <x:c r="Y525" s="100"/>
      <x:c r="Z525" s="100"/>
    </x:row>
    <x:row r="526" spans="1:26">
      <x:c r="A526" s="111"/>
      <x:c r="B526" s="111"/>
      <x:c r="C526" s="111"/>
      <x:c r="D526" s="112"/>
      <x:c r="E526" s="113"/>
      <x:c r="F526" s="111"/>
      <x:c r="G526" s="111"/>
      <x:c r="H526" s="114"/>
      <x:c r="I526" s="115"/>
      <x:c r="J526" s="92"/>
      <x:c r="K526" s="92"/>
      <x:c r="L526" s="92"/>
      <x:c r="M526" s="92"/>
      <x:c r="N526" s="92"/>
      <x:c r="O526" s="92"/>
      <x:c r="P526" s="92"/>
      <x:c r="Q526" s="92"/>
      <x:c r="R526" s="92"/>
      <x:c r="S526" s="92"/>
      <x:c r="T526" s="92"/>
      <x:c r="U526" s="92"/>
      <x:c r="V526" s="92"/>
      <x:c r="W526" s="92"/>
      <x:c r="X526" s="92"/>
      <x:c r="Y526" s="92"/>
      <x:c r="Z526" s="92"/>
    </x:row>
    <x:row r="527" spans="1:26">
      <x:c r="A527" s="106"/>
      <x:c r="B527" s="106"/>
      <x:c r="C527" s="106"/>
      <x:c r="D527" s="107"/>
      <x:c r="E527" s="108"/>
      <x:c r="F527" s="106"/>
      <x:c r="G527" s="106"/>
      <x:c r="H527" s="109"/>
      <x:c r="I527" s="110"/>
      <x:c r="J527" s="100"/>
      <x:c r="K527" s="100"/>
      <x:c r="L527" s="100"/>
      <x:c r="M527" s="100"/>
      <x:c r="N527" s="100"/>
      <x:c r="O527" s="100"/>
      <x:c r="P527" s="100"/>
      <x:c r="Q527" s="100"/>
      <x:c r="R527" s="100"/>
      <x:c r="S527" s="100"/>
      <x:c r="T527" s="100"/>
      <x:c r="U527" s="100"/>
      <x:c r="V527" s="100"/>
      <x:c r="W527" s="100"/>
      <x:c r="X527" s="100"/>
      <x:c r="Y527" s="100"/>
      <x:c r="Z527" s="100"/>
    </x:row>
    <x:row r="528" spans="1:26">
      <x:c r="A528" s="111"/>
      <x:c r="B528" s="111"/>
      <x:c r="C528" s="111"/>
      <x:c r="D528" s="112"/>
      <x:c r="E528" s="113"/>
      <x:c r="F528" s="111"/>
      <x:c r="G528" s="111"/>
      <x:c r="H528" s="114"/>
      <x:c r="I528" s="115"/>
      <x:c r="J528" s="92"/>
      <x:c r="K528" s="92"/>
      <x:c r="L528" s="92"/>
      <x:c r="M528" s="92"/>
      <x:c r="N528" s="92"/>
      <x:c r="O528" s="92"/>
      <x:c r="P528" s="92"/>
      <x:c r="Q528" s="92"/>
      <x:c r="R528" s="92"/>
      <x:c r="S528" s="92"/>
      <x:c r="T528" s="92"/>
      <x:c r="U528" s="92"/>
      <x:c r="V528" s="92"/>
      <x:c r="W528" s="92"/>
      <x:c r="X528" s="92"/>
      <x:c r="Y528" s="92"/>
      <x:c r="Z528" s="92"/>
    </x:row>
    <x:row r="529" spans="1:26">
      <x:c r="A529" s="106"/>
      <x:c r="B529" s="106"/>
      <x:c r="C529" s="106"/>
      <x:c r="D529" s="107"/>
      <x:c r="E529" s="108"/>
      <x:c r="F529" s="106"/>
      <x:c r="G529" s="106"/>
      <x:c r="H529" s="109"/>
      <x:c r="I529" s="110"/>
      <x:c r="J529" s="100"/>
      <x:c r="K529" s="100"/>
      <x:c r="L529" s="100"/>
      <x:c r="M529" s="100"/>
      <x:c r="N529" s="100"/>
      <x:c r="O529" s="100"/>
      <x:c r="P529" s="100"/>
      <x:c r="Q529" s="100"/>
      <x:c r="R529" s="100"/>
      <x:c r="S529" s="100"/>
      <x:c r="T529" s="100"/>
      <x:c r="U529" s="100"/>
      <x:c r="V529" s="100"/>
      <x:c r="W529" s="100"/>
      <x:c r="X529" s="100"/>
      <x:c r="Y529" s="100"/>
      <x:c r="Z529" s="100"/>
    </x:row>
    <x:row r="530" spans="1:26">
      <x:c r="A530" s="111"/>
      <x:c r="B530" s="111"/>
      <x:c r="C530" s="111"/>
      <x:c r="D530" s="112"/>
      <x:c r="E530" s="113"/>
      <x:c r="F530" s="111"/>
      <x:c r="G530" s="111"/>
      <x:c r="H530" s="114"/>
      <x:c r="I530" s="115"/>
      <x:c r="J530" s="92"/>
      <x:c r="K530" s="92"/>
      <x:c r="L530" s="92"/>
      <x:c r="M530" s="92"/>
      <x:c r="N530" s="92"/>
      <x:c r="O530" s="92"/>
      <x:c r="P530" s="92"/>
      <x:c r="Q530" s="92"/>
      <x:c r="R530" s="92"/>
      <x:c r="S530" s="92"/>
      <x:c r="T530" s="92"/>
      <x:c r="U530" s="92"/>
      <x:c r="V530" s="92"/>
      <x:c r="W530" s="92"/>
      <x:c r="X530" s="92"/>
      <x:c r="Y530" s="92"/>
      <x:c r="Z530" s="92"/>
    </x:row>
    <x:row r="531" spans="1:26">
      <x:c r="A531" s="106"/>
      <x:c r="B531" s="106"/>
      <x:c r="C531" s="106"/>
      <x:c r="D531" s="107"/>
      <x:c r="E531" s="108"/>
      <x:c r="F531" s="106"/>
      <x:c r="G531" s="106"/>
      <x:c r="H531" s="109"/>
      <x:c r="I531" s="110"/>
      <x:c r="J531" s="100"/>
      <x:c r="K531" s="100"/>
      <x:c r="L531" s="100"/>
      <x:c r="M531" s="100"/>
      <x:c r="N531" s="100"/>
      <x:c r="O531" s="100"/>
      <x:c r="P531" s="100"/>
      <x:c r="Q531" s="100"/>
      <x:c r="R531" s="100"/>
      <x:c r="S531" s="100"/>
      <x:c r="T531" s="100"/>
      <x:c r="U531" s="100"/>
      <x:c r="V531" s="100"/>
      <x:c r="W531" s="100"/>
      <x:c r="X531" s="100"/>
      <x:c r="Y531" s="100"/>
      <x:c r="Z531" s="100"/>
    </x:row>
    <x:row r="532" spans="1:26">
      <x:c r="A532" s="111"/>
      <x:c r="B532" s="111"/>
      <x:c r="C532" s="111"/>
      <x:c r="D532" s="112"/>
      <x:c r="E532" s="113"/>
      <x:c r="F532" s="111"/>
      <x:c r="G532" s="111"/>
      <x:c r="H532" s="114"/>
      <x:c r="I532" s="115"/>
      <x:c r="J532" s="92"/>
      <x:c r="K532" s="92"/>
      <x:c r="L532" s="92"/>
      <x:c r="M532" s="92"/>
      <x:c r="N532" s="92"/>
      <x:c r="O532" s="92"/>
      <x:c r="P532" s="92"/>
      <x:c r="Q532" s="92"/>
      <x:c r="R532" s="92"/>
      <x:c r="S532" s="92"/>
      <x:c r="T532" s="92"/>
      <x:c r="U532" s="92"/>
      <x:c r="V532" s="92"/>
      <x:c r="W532" s="92"/>
      <x:c r="X532" s="92"/>
      <x:c r="Y532" s="92"/>
      <x:c r="Z532" s="92"/>
    </x:row>
    <x:row r="533" spans="1:26">
      <x:c r="A533" s="106"/>
      <x:c r="B533" s="106"/>
      <x:c r="C533" s="106"/>
      <x:c r="D533" s="107"/>
      <x:c r="E533" s="108"/>
      <x:c r="F533" s="106"/>
      <x:c r="G533" s="106"/>
      <x:c r="H533" s="109"/>
      <x:c r="I533" s="110"/>
      <x:c r="J533" s="100"/>
      <x:c r="K533" s="100"/>
      <x:c r="L533" s="100"/>
      <x:c r="M533" s="100"/>
      <x:c r="N533" s="100"/>
      <x:c r="O533" s="100"/>
      <x:c r="P533" s="100"/>
      <x:c r="Q533" s="100"/>
      <x:c r="R533" s="100"/>
      <x:c r="S533" s="100"/>
      <x:c r="T533" s="100"/>
      <x:c r="U533" s="100"/>
      <x:c r="V533" s="100"/>
      <x:c r="W533" s="100"/>
      <x:c r="X533" s="100"/>
      <x:c r="Y533" s="100"/>
      <x:c r="Z533" s="100"/>
    </x:row>
    <x:row r="534" spans="1:26">
      <x:c r="A534" s="111"/>
      <x:c r="B534" s="111"/>
      <x:c r="C534" s="111"/>
      <x:c r="D534" s="112"/>
      <x:c r="E534" s="113"/>
      <x:c r="F534" s="111"/>
      <x:c r="G534" s="111"/>
      <x:c r="H534" s="114"/>
      <x:c r="I534" s="115"/>
      <x:c r="J534" s="92"/>
      <x:c r="K534" s="92"/>
      <x:c r="L534" s="92"/>
      <x:c r="M534" s="92"/>
      <x:c r="N534" s="92"/>
      <x:c r="O534" s="92"/>
      <x:c r="P534" s="92"/>
      <x:c r="Q534" s="92"/>
      <x:c r="R534" s="92"/>
      <x:c r="S534" s="92"/>
      <x:c r="T534" s="92"/>
      <x:c r="U534" s="92"/>
      <x:c r="V534" s="92"/>
      <x:c r="W534" s="92"/>
      <x:c r="X534" s="92"/>
      <x:c r="Y534" s="92"/>
      <x:c r="Z534" s="92"/>
    </x:row>
    <x:row r="535" spans="1:26">
      <x:c r="A535" s="106"/>
      <x:c r="B535" s="106"/>
      <x:c r="C535" s="106"/>
      <x:c r="D535" s="107"/>
      <x:c r="E535" s="108"/>
      <x:c r="F535" s="106"/>
      <x:c r="G535" s="106"/>
      <x:c r="H535" s="109"/>
      <x:c r="I535" s="110"/>
      <x:c r="J535" s="100"/>
      <x:c r="K535" s="100"/>
      <x:c r="L535" s="100"/>
      <x:c r="M535" s="100"/>
      <x:c r="N535" s="100"/>
      <x:c r="O535" s="100"/>
      <x:c r="P535" s="100"/>
      <x:c r="Q535" s="100"/>
      <x:c r="R535" s="100"/>
      <x:c r="S535" s="100"/>
      <x:c r="T535" s="100"/>
      <x:c r="U535" s="100"/>
      <x:c r="V535" s="100"/>
      <x:c r="W535" s="100"/>
      <x:c r="X535" s="100"/>
      <x:c r="Y535" s="100"/>
      <x:c r="Z535" s="100"/>
    </x:row>
    <x:row r="536" spans="1:26">
      <x:c r="A536" s="111"/>
      <x:c r="B536" s="111"/>
      <x:c r="C536" s="111"/>
      <x:c r="D536" s="112"/>
      <x:c r="E536" s="113"/>
      <x:c r="F536" s="111"/>
      <x:c r="G536" s="111"/>
      <x:c r="H536" s="114"/>
      <x:c r="I536" s="115"/>
      <x:c r="J536" s="92"/>
      <x:c r="K536" s="92"/>
      <x:c r="L536" s="92"/>
      <x:c r="M536" s="92"/>
      <x:c r="N536" s="92"/>
      <x:c r="O536" s="92"/>
      <x:c r="P536" s="92"/>
      <x:c r="Q536" s="92"/>
      <x:c r="R536" s="92"/>
      <x:c r="S536" s="92"/>
      <x:c r="T536" s="92"/>
      <x:c r="U536" s="92"/>
      <x:c r="V536" s="92"/>
      <x:c r="W536" s="92"/>
      <x:c r="X536" s="92"/>
      <x:c r="Y536" s="92"/>
      <x:c r="Z536" s="92"/>
    </x:row>
    <x:row r="537" spans="1:26">
      <x:c r="A537" s="106"/>
      <x:c r="B537" s="106"/>
      <x:c r="C537" s="106"/>
      <x:c r="D537" s="107"/>
      <x:c r="E537" s="108"/>
      <x:c r="F537" s="106"/>
      <x:c r="G537" s="106"/>
      <x:c r="H537" s="109"/>
      <x:c r="I537" s="110"/>
      <x:c r="J537" s="100"/>
      <x:c r="K537" s="100"/>
      <x:c r="L537" s="100"/>
      <x:c r="M537" s="100"/>
      <x:c r="N537" s="100"/>
      <x:c r="O537" s="100"/>
      <x:c r="P537" s="100"/>
      <x:c r="Q537" s="100"/>
      <x:c r="R537" s="100"/>
      <x:c r="S537" s="100"/>
      <x:c r="T537" s="100"/>
      <x:c r="U537" s="100"/>
      <x:c r="V537" s="100"/>
      <x:c r="W537" s="100"/>
      <x:c r="X537" s="100"/>
      <x:c r="Y537" s="100"/>
      <x:c r="Z537" s="100"/>
    </x:row>
    <x:row r="538" spans="1:26">
      <x:c r="A538" s="111"/>
      <x:c r="B538" s="111"/>
      <x:c r="C538" s="111"/>
      <x:c r="D538" s="112"/>
      <x:c r="E538" s="113"/>
      <x:c r="F538" s="111"/>
      <x:c r="G538" s="111"/>
      <x:c r="H538" s="114"/>
      <x:c r="I538" s="115"/>
      <x:c r="J538" s="92"/>
      <x:c r="K538" s="92"/>
      <x:c r="L538" s="92"/>
      <x:c r="M538" s="92"/>
      <x:c r="N538" s="92"/>
      <x:c r="O538" s="92"/>
      <x:c r="P538" s="92"/>
      <x:c r="Q538" s="92"/>
      <x:c r="R538" s="92"/>
      <x:c r="S538" s="92"/>
      <x:c r="T538" s="92"/>
      <x:c r="U538" s="92"/>
      <x:c r="V538" s="92"/>
      <x:c r="W538" s="92"/>
      <x:c r="X538" s="92"/>
      <x:c r="Y538" s="92"/>
      <x:c r="Z538" s="92"/>
    </x:row>
    <x:row r="539" spans="1:26">
      <x:c r="A539" s="106"/>
      <x:c r="B539" s="106"/>
      <x:c r="C539" s="106"/>
      <x:c r="D539" s="107"/>
      <x:c r="E539" s="108"/>
      <x:c r="F539" s="106"/>
      <x:c r="G539" s="106"/>
      <x:c r="H539" s="109"/>
      <x:c r="I539" s="110"/>
      <x:c r="J539" s="100"/>
      <x:c r="K539" s="100"/>
      <x:c r="L539" s="100"/>
      <x:c r="M539" s="100"/>
      <x:c r="N539" s="100"/>
      <x:c r="O539" s="100"/>
      <x:c r="P539" s="100"/>
      <x:c r="Q539" s="100"/>
      <x:c r="R539" s="100"/>
      <x:c r="S539" s="100"/>
      <x:c r="T539" s="100"/>
      <x:c r="U539" s="100"/>
      <x:c r="V539" s="100"/>
      <x:c r="W539" s="100"/>
      <x:c r="X539" s="100"/>
      <x:c r="Y539" s="100"/>
      <x:c r="Z539" s="100"/>
    </x:row>
    <x:row r="540" spans="1:26">
      <x:c r="A540" s="111"/>
      <x:c r="B540" s="111"/>
      <x:c r="C540" s="111"/>
      <x:c r="D540" s="112"/>
      <x:c r="E540" s="113"/>
      <x:c r="F540" s="111"/>
      <x:c r="G540" s="111"/>
      <x:c r="H540" s="114"/>
      <x:c r="I540" s="115"/>
      <x:c r="J540" s="92"/>
      <x:c r="K540" s="92"/>
      <x:c r="L540" s="92"/>
      <x:c r="M540" s="92"/>
      <x:c r="N540" s="92"/>
      <x:c r="O540" s="92"/>
      <x:c r="P540" s="92"/>
      <x:c r="Q540" s="92"/>
      <x:c r="R540" s="92"/>
      <x:c r="S540" s="92"/>
      <x:c r="T540" s="92"/>
      <x:c r="U540" s="92"/>
      <x:c r="V540" s="92"/>
      <x:c r="W540" s="92"/>
      <x:c r="X540" s="92"/>
      <x:c r="Y540" s="92"/>
      <x:c r="Z540" s="92"/>
    </x:row>
    <x:row r="541" spans="1:26">
      <x:c r="A541" s="106"/>
      <x:c r="B541" s="106"/>
      <x:c r="C541" s="106"/>
      <x:c r="D541" s="107"/>
      <x:c r="E541" s="108"/>
      <x:c r="F541" s="106"/>
      <x:c r="G541" s="106"/>
      <x:c r="H541" s="109"/>
      <x:c r="I541" s="110"/>
      <x:c r="J541" s="100"/>
      <x:c r="K541" s="100"/>
      <x:c r="L541" s="100"/>
      <x:c r="M541" s="100"/>
      <x:c r="N541" s="100"/>
      <x:c r="O541" s="100"/>
      <x:c r="P541" s="100"/>
      <x:c r="Q541" s="100"/>
      <x:c r="R541" s="100"/>
      <x:c r="S541" s="100"/>
      <x:c r="T541" s="100"/>
      <x:c r="U541" s="100"/>
      <x:c r="V541" s="100"/>
      <x:c r="W541" s="100"/>
      <x:c r="X541" s="100"/>
      <x:c r="Y541" s="100"/>
      <x:c r="Z541" s="100"/>
    </x:row>
    <x:row r="542" spans="1:26">
      <x:c r="A542" s="111"/>
      <x:c r="B542" s="111"/>
      <x:c r="C542" s="111"/>
      <x:c r="D542" s="112"/>
      <x:c r="E542" s="113"/>
      <x:c r="F542" s="111"/>
      <x:c r="G542" s="111"/>
      <x:c r="H542" s="114"/>
      <x:c r="I542" s="115"/>
      <x:c r="J542" s="92"/>
      <x:c r="K542" s="92"/>
      <x:c r="L542" s="92"/>
      <x:c r="M542" s="92"/>
      <x:c r="N542" s="92"/>
      <x:c r="O542" s="92"/>
      <x:c r="P542" s="92"/>
      <x:c r="Q542" s="92"/>
      <x:c r="R542" s="92"/>
      <x:c r="S542" s="92"/>
      <x:c r="T542" s="92"/>
      <x:c r="U542" s="92"/>
      <x:c r="V542" s="92"/>
      <x:c r="W542" s="92"/>
      <x:c r="X542" s="92"/>
      <x:c r="Y542" s="92"/>
      <x:c r="Z542" s="92"/>
    </x:row>
    <x:row r="543" spans="1:26">
      <x:c r="A543" s="106"/>
      <x:c r="B543" s="106"/>
      <x:c r="C543" s="106"/>
      <x:c r="D543" s="107"/>
      <x:c r="E543" s="108"/>
      <x:c r="F543" s="106"/>
      <x:c r="G543" s="106"/>
      <x:c r="H543" s="109"/>
      <x:c r="I543" s="110"/>
      <x:c r="J543" s="100"/>
      <x:c r="K543" s="100"/>
      <x:c r="L543" s="100"/>
      <x:c r="M543" s="100"/>
      <x:c r="N543" s="100"/>
      <x:c r="O543" s="100"/>
      <x:c r="P543" s="100"/>
      <x:c r="Q543" s="100"/>
      <x:c r="R543" s="100"/>
      <x:c r="S543" s="100"/>
      <x:c r="T543" s="100"/>
      <x:c r="U543" s="100"/>
      <x:c r="V543" s="100"/>
      <x:c r="W543" s="100"/>
      <x:c r="X543" s="100"/>
      <x:c r="Y543" s="100"/>
      <x:c r="Z543" s="100"/>
    </x:row>
    <x:row r="544" spans="1:26">
      <x:c r="A544" s="111"/>
      <x:c r="B544" s="111"/>
      <x:c r="C544" s="111"/>
      <x:c r="D544" s="112"/>
      <x:c r="E544" s="113"/>
      <x:c r="F544" s="111"/>
      <x:c r="G544" s="111"/>
      <x:c r="H544" s="114"/>
      <x:c r="I544" s="115"/>
      <x:c r="J544" s="92"/>
      <x:c r="K544" s="92"/>
      <x:c r="L544" s="92"/>
      <x:c r="M544" s="92"/>
      <x:c r="N544" s="92"/>
      <x:c r="O544" s="92"/>
      <x:c r="P544" s="92"/>
      <x:c r="Q544" s="92"/>
      <x:c r="R544" s="92"/>
      <x:c r="S544" s="92"/>
      <x:c r="T544" s="92"/>
      <x:c r="U544" s="92"/>
      <x:c r="V544" s="92"/>
      <x:c r="W544" s="92"/>
      <x:c r="X544" s="92"/>
      <x:c r="Y544" s="92"/>
      <x:c r="Z544" s="92"/>
    </x:row>
    <x:row r="545" spans="1:26">
      <x:c r="A545" s="106"/>
      <x:c r="B545" s="106"/>
      <x:c r="C545" s="106"/>
      <x:c r="D545" s="107"/>
      <x:c r="E545" s="108"/>
      <x:c r="F545" s="106"/>
      <x:c r="G545" s="106"/>
      <x:c r="H545" s="109"/>
      <x:c r="I545" s="110"/>
      <x:c r="J545" s="100"/>
      <x:c r="K545" s="100"/>
      <x:c r="L545" s="100"/>
      <x:c r="M545" s="100"/>
      <x:c r="N545" s="100"/>
      <x:c r="O545" s="100"/>
      <x:c r="P545" s="100"/>
      <x:c r="Q545" s="100"/>
      <x:c r="R545" s="100"/>
      <x:c r="S545" s="100"/>
      <x:c r="T545" s="100"/>
      <x:c r="U545" s="100"/>
      <x:c r="V545" s="100"/>
      <x:c r="W545" s="100"/>
      <x:c r="X545" s="100"/>
      <x:c r="Y545" s="100"/>
      <x:c r="Z545" s="100"/>
    </x:row>
    <x:row r="546" spans="1:26">
      <x:c r="A546" s="111"/>
      <x:c r="B546" s="111"/>
      <x:c r="C546" s="111"/>
      <x:c r="D546" s="112"/>
      <x:c r="E546" s="113"/>
      <x:c r="F546" s="111"/>
      <x:c r="G546" s="111"/>
      <x:c r="H546" s="114"/>
      <x:c r="I546" s="115"/>
      <x:c r="J546" s="92"/>
      <x:c r="K546" s="92"/>
      <x:c r="L546" s="92"/>
      <x:c r="M546" s="92"/>
      <x:c r="N546" s="92"/>
      <x:c r="O546" s="92"/>
      <x:c r="P546" s="92"/>
      <x:c r="Q546" s="92"/>
      <x:c r="R546" s="92"/>
      <x:c r="S546" s="92"/>
      <x:c r="T546" s="92"/>
      <x:c r="U546" s="92"/>
      <x:c r="V546" s="92"/>
      <x:c r="W546" s="92"/>
      <x:c r="X546" s="92"/>
      <x:c r="Y546" s="92"/>
      <x:c r="Z546" s="92"/>
    </x:row>
    <x:row r="547" spans="1:26">
      <x:c r="A547" s="106"/>
      <x:c r="B547" s="106"/>
      <x:c r="C547" s="106"/>
      <x:c r="D547" s="107"/>
      <x:c r="E547" s="108"/>
      <x:c r="F547" s="106"/>
      <x:c r="G547" s="106"/>
      <x:c r="H547" s="109"/>
      <x:c r="I547" s="110"/>
      <x:c r="J547" s="100"/>
      <x:c r="K547" s="100"/>
      <x:c r="L547" s="100"/>
      <x:c r="M547" s="100"/>
      <x:c r="N547" s="100"/>
      <x:c r="O547" s="100"/>
      <x:c r="P547" s="100"/>
      <x:c r="Q547" s="100"/>
      <x:c r="R547" s="100"/>
      <x:c r="S547" s="100"/>
      <x:c r="T547" s="100"/>
      <x:c r="U547" s="100"/>
      <x:c r="V547" s="100"/>
      <x:c r="W547" s="100"/>
      <x:c r="X547" s="100"/>
      <x:c r="Y547" s="100"/>
      <x:c r="Z547" s="100"/>
    </x:row>
    <x:row r="548" spans="1:26">
      <x:c r="A548" s="111"/>
      <x:c r="B548" s="111"/>
      <x:c r="C548" s="111"/>
      <x:c r="D548" s="112"/>
      <x:c r="E548" s="113"/>
      <x:c r="F548" s="111"/>
      <x:c r="G548" s="111"/>
      <x:c r="H548" s="114"/>
      <x:c r="I548" s="115"/>
      <x:c r="J548" s="92"/>
      <x:c r="K548" s="92"/>
      <x:c r="L548" s="92"/>
      <x:c r="M548" s="92"/>
      <x:c r="N548" s="92"/>
      <x:c r="O548" s="92"/>
      <x:c r="P548" s="92"/>
      <x:c r="Q548" s="92"/>
      <x:c r="R548" s="92"/>
      <x:c r="S548" s="92"/>
      <x:c r="T548" s="92"/>
      <x:c r="U548" s="92"/>
      <x:c r="V548" s="92"/>
      <x:c r="W548" s="92"/>
      <x:c r="X548" s="92"/>
      <x:c r="Y548" s="92"/>
      <x:c r="Z548" s="92"/>
    </x:row>
    <x:row r="549" spans="1:26">
      <x:c r="A549" s="106"/>
      <x:c r="B549" s="106"/>
      <x:c r="C549" s="106"/>
      <x:c r="D549" s="107"/>
      <x:c r="E549" s="108"/>
      <x:c r="F549" s="106"/>
      <x:c r="G549" s="106"/>
      <x:c r="H549" s="109"/>
      <x:c r="I549" s="110"/>
      <x:c r="J549" s="100"/>
      <x:c r="K549" s="100"/>
      <x:c r="L549" s="100"/>
      <x:c r="M549" s="100"/>
      <x:c r="N549" s="100"/>
      <x:c r="O549" s="100"/>
      <x:c r="P549" s="100"/>
      <x:c r="Q549" s="100"/>
      <x:c r="R549" s="100"/>
      <x:c r="S549" s="100"/>
      <x:c r="T549" s="100"/>
      <x:c r="U549" s="100"/>
      <x:c r="V549" s="100"/>
      <x:c r="W549" s="100"/>
      <x:c r="X549" s="100"/>
      <x:c r="Y549" s="100"/>
      <x:c r="Z549" s="100"/>
    </x:row>
    <x:row r="550" spans="1:26">
      <x:c r="A550" s="111"/>
      <x:c r="B550" s="111"/>
      <x:c r="C550" s="111"/>
      <x:c r="D550" s="112"/>
      <x:c r="E550" s="113"/>
      <x:c r="F550" s="111"/>
      <x:c r="G550" s="111"/>
      <x:c r="H550" s="114"/>
      <x:c r="I550" s="115"/>
      <x:c r="J550" s="92"/>
      <x:c r="K550" s="92"/>
      <x:c r="L550" s="92"/>
      <x:c r="M550" s="92"/>
      <x:c r="N550" s="92"/>
      <x:c r="O550" s="92"/>
      <x:c r="P550" s="92"/>
      <x:c r="Q550" s="92"/>
      <x:c r="R550" s="92"/>
      <x:c r="S550" s="92"/>
      <x:c r="T550" s="92"/>
      <x:c r="U550" s="92"/>
      <x:c r="V550" s="92"/>
      <x:c r="W550" s="92"/>
      <x:c r="X550" s="92"/>
      <x:c r="Y550" s="92"/>
      <x:c r="Z550" s="92"/>
    </x:row>
    <x:row r="551" spans="1:26">
      <x:c r="A551" s="106"/>
      <x:c r="B551" s="106"/>
      <x:c r="C551" s="106"/>
      <x:c r="D551" s="107"/>
      <x:c r="E551" s="108"/>
      <x:c r="F551" s="106"/>
      <x:c r="G551" s="106"/>
      <x:c r="H551" s="109"/>
      <x:c r="I551" s="110"/>
      <x:c r="J551" s="100"/>
      <x:c r="K551" s="100"/>
      <x:c r="L551" s="100"/>
      <x:c r="M551" s="100"/>
      <x:c r="N551" s="100"/>
      <x:c r="O551" s="100"/>
      <x:c r="P551" s="100"/>
      <x:c r="Q551" s="100"/>
      <x:c r="R551" s="100"/>
      <x:c r="S551" s="100"/>
      <x:c r="T551" s="100"/>
      <x:c r="U551" s="100"/>
      <x:c r="V551" s="100"/>
      <x:c r="W551" s="100"/>
      <x:c r="X551" s="100"/>
      <x:c r="Y551" s="100"/>
      <x:c r="Z551" s="100"/>
    </x:row>
    <x:row r="552" spans="1:26">
      <x:c r="A552" s="111"/>
      <x:c r="B552" s="111"/>
      <x:c r="C552" s="111"/>
      <x:c r="D552" s="112"/>
      <x:c r="E552" s="113"/>
      <x:c r="F552" s="111"/>
      <x:c r="G552" s="111"/>
      <x:c r="H552" s="114"/>
      <x:c r="I552" s="115"/>
      <x:c r="J552" s="92"/>
      <x:c r="K552" s="92"/>
      <x:c r="L552" s="92"/>
      <x:c r="M552" s="92"/>
      <x:c r="N552" s="92"/>
      <x:c r="O552" s="92"/>
      <x:c r="P552" s="92"/>
      <x:c r="Q552" s="92"/>
      <x:c r="R552" s="92"/>
      <x:c r="S552" s="92"/>
      <x:c r="T552" s="92"/>
      <x:c r="U552" s="92"/>
      <x:c r="V552" s="92"/>
      <x:c r="W552" s="92"/>
      <x:c r="X552" s="92"/>
      <x:c r="Y552" s="92"/>
      <x:c r="Z552" s="92"/>
    </x:row>
    <x:row r="553" spans="1:26">
      <x:c r="A553" s="106"/>
      <x:c r="B553" s="106"/>
      <x:c r="C553" s="106"/>
      <x:c r="D553" s="107"/>
      <x:c r="E553" s="108"/>
      <x:c r="F553" s="106"/>
      <x:c r="G553" s="106"/>
      <x:c r="H553" s="109"/>
      <x:c r="I553" s="110"/>
      <x:c r="J553" s="100"/>
      <x:c r="K553" s="100"/>
      <x:c r="L553" s="100"/>
      <x:c r="M553" s="100"/>
      <x:c r="N553" s="100"/>
      <x:c r="O553" s="100"/>
      <x:c r="P553" s="100"/>
      <x:c r="Q553" s="100"/>
      <x:c r="R553" s="100"/>
      <x:c r="S553" s="100"/>
      <x:c r="T553" s="100"/>
      <x:c r="U553" s="100"/>
      <x:c r="V553" s="100"/>
      <x:c r="W553" s="100"/>
      <x:c r="X553" s="100"/>
      <x:c r="Y553" s="100"/>
      <x:c r="Z553" s="100"/>
    </x:row>
    <x:row r="554" spans="1:26">
      <x:c r="A554" s="111"/>
      <x:c r="B554" s="111"/>
      <x:c r="C554" s="111"/>
      <x:c r="D554" s="112"/>
      <x:c r="E554" s="113"/>
      <x:c r="F554" s="111"/>
      <x:c r="G554" s="111"/>
      <x:c r="H554" s="114"/>
      <x:c r="I554" s="115"/>
      <x:c r="J554" s="92"/>
      <x:c r="K554" s="92"/>
      <x:c r="L554" s="92"/>
      <x:c r="M554" s="92"/>
      <x:c r="N554" s="92"/>
      <x:c r="O554" s="92"/>
      <x:c r="P554" s="92"/>
      <x:c r="Q554" s="92"/>
      <x:c r="R554" s="92"/>
      <x:c r="S554" s="92"/>
      <x:c r="T554" s="92"/>
      <x:c r="U554" s="92"/>
      <x:c r="V554" s="92"/>
      <x:c r="W554" s="92"/>
      <x:c r="X554" s="92"/>
      <x:c r="Y554" s="92"/>
      <x:c r="Z554" s="92"/>
    </x:row>
    <x:row r="555" spans="1:26">
      <x:c r="A555" s="106"/>
      <x:c r="B555" s="106"/>
      <x:c r="C555" s="106"/>
      <x:c r="D555" s="107"/>
      <x:c r="E555" s="108"/>
      <x:c r="F555" s="106"/>
      <x:c r="G555" s="106"/>
      <x:c r="H555" s="109"/>
      <x:c r="I555" s="110"/>
      <x:c r="J555" s="100"/>
      <x:c r="K555" s="100"/>
      <x:c r="L555" s="100"/>
      <x:c r="M555" s="100"/>
      <x:c r="N555" s="100"/>
      <x:c r="O555" s="100"/>
      <x:c r="P555" s="100"/>
      <x:c r="Q555" s="100"/>
      <x:c r="R555" s="100"/>
      <x:c r="S555" s="100"/>
      <x:c r="T555" s="100"/>
      <x:c r="U555" s="100"/>
      <x:c r="V555" s="100"/>
      <x:c r="W555" s="100"/>
      <x:c r="X555" s="100"/>
      <x:c r="Y555" s="100"/>
      <x:c r="Z555" s="100"/>
    </x:row>
    <x:row r="556" spans="1:26">
      <x:c r="A556" s="111"/>
      <x:c r="B556" s="111"/>
      <x:c r="C556" s="111"/>
      <x:c r="D556" s="112"/>
      <x:c r="E556" s="113"/>
      <x:c r="F556" s="111"/>
      <x:c r="G556" s="111"/>
      <x:c r="H556" s="114"/>
      <x:c r="I556" s="115"/>
      <x:c r="J556" s="92"/>
      <x:c r="K556" s="92"/>
      <x:c r="L556" s="92"/>
      <x:c r="M556" s="92"/>
      <x:c r="N556" s="92"/>
      <x:c r="O556" s="92"/>
      <x:c r="P556" s="92"/>
      <x:c r="Q556" s="92"/>
      <x:c r="R556" s="92"/>
      <x:c r="S556" s="92"/>
      <x:c r="T556" s="92"/>
      <x:c r="U556" s="92"/>
      <x:c r="V556" s="92"/>
      <x:c r="W556" s="92"/>
      <x:c r="X556" s="92"/>
      <x:c r="Y556" s="92"/>
      <x:c r="Z556" s="92"/>
    </x:row>
    <x:row r="557" spans="1:26">
      <x:c r="A557" s="106"/>
      <x:c r="B557" s="106"/>
      <x:c r="C557" s="106"/>
      <x:c r="D557" s="107"/>
      <x:c r="E557" s="108"/>
      <x:c r="F557" s="106"/>
      <x:c r="G557" s="106"/>
      <x:c r="H557" s="109"/>
      <x:c r="I557" s="110"/>
      <x:c r="J557" s="100"/>
      <x:c r="K557" s="100"/>
      <x:c r="L557" s="100"/>
      <x:c r="M557" s="100"/>
      <x:c r="N557" s="100"/>
      <x:c r="O557" s="100"/>
      <x:c r="P557" s="100"/>
      <x:c r="Q557" s="100"/>
      <x:c r="R557" s="100"/>
      <x:c r="S557" s="100"/>
      <x:c r="T557" s="100"/>
      <x:c r="U557" s="100"/>
      <x:c r="V557" s="100"/>
      <x:c r="W557" s="100"/>
      <x:c r="X557" s="100"/>
      <x:c r="Y557" s="100"/>
      <x:c r="Z557" s="100"/>
    </x:row>
    <x:row r="558" spans="1:26">
      <x:c r="A558" s="111"/>
      <x:c r="B558" s="111"/>
      <x:c r="C558" s="111"/>
      <x:c r="D558" s="112"/>
      <x:c r="E558" s="113"/>
      <x:c r="F558" s="111"/>
      <x:c r="G558" s="111"/>
      <x:c r="H558" s="114"/>
      <x:c r="I558" s="115"/>
      <x:c r="J558" s="92"/>
      <x:c r="K558" s="92"/>
      <x:c r="L558" s="92"/>
      <x:c r="M558" s="92"/>
      <x:c r="N558" s="92"/>
      <x:c r="O558" s="92"/>
      <x:c r="P558" s="92"/>
      <x:c r="Q558" s="92"/>
      <x:c r="R558" s="92"/>
      <x:c r="S558" s="92"/>
      <x:c r="T558" s="92"/>
      <x:c r="U558" s="92"/>
      <x:c r="V558" s="92"/>
      <x:c r="W558" s="92"/>
      <x:c r="X558" s="92"/>
      <x:c r="Y558" s="92"/>
      <x:c r="Z558" s="92"/>
    </x:row>
    <x:row r="559" spans="1:26">
      <x:c r="A559" s="106"/>
      <x:c r="B559" s="106"/>
      <x:c r="C559" s="106"/>
      <x:c r="D559" s="107"/>
      <x:c r="E559" s="108"/>
      <x:c r="F559" s="106"/>
      <x:c r="G559" s="106"/>
      <x:c r="H559" s="109"/>
      <x:c r="I559" s="110"/>
      <x:c r="J559" s="100"/>
      <x:c r="K559" s="100"/>
      <x:c r="L559" s="100"/>
      <x:c r="M559" s="100"/>
      <x:c r="N559" s="100"/>
      <x:c r="O559" s="100"/>
      <x:c r="P559" s="100"/>
      <x:c r="Q559" s="100"/>
      <x:c r="R559" s="100"/>
      <x:c r="S559" s="100"/>
      <x:c r="T559" s="100"/>
      <x:c r="U559" s="100"/>
      <x:c r="V559" s="100"/>
      <x:c r="W559" s="100"/>
      <x:c r="X559" s="100"/>
      <x:c r="Y559" s="100"/>
      <x:c r="Z559" s="100"/>
    </x:row>
    <x:row r="560" spans="1:26">
      <x:c r="A560" s="111"/>
      <x:c r="B560" s="111"/>
      <x:c r="C560" s="111"/>
      <x:c r="D560" s="112"/>
      <x:c r="E560" s="113"/>
      <x:c r="F560" s="111"/>
      <x:c r="G560" s="111"/>
      <x:c r="H560" s="114"/>
      <x:c r="I560" s="115"/>
      <x:c r="J560" s="92"/>
      <x:c r="K560" s="92"/>
      <x:c r="L560" s="92"/>
      <x:c r="M560" s="92"/>
      <x:c r="N560" s="92"/>
      <x:c r="O560" s="92"/>
      <x:c r="P560" s="92"/>
      <x:c r="Q560" s="92"/>
      <x:c r="R560" s="92"/>
      <x:c r="S560" s="92"/>
      <x:c r="T560" s="92"/>
      <x:c r="U560" s="92"/>
      <x:c r="V560" s="92"/>
      <x:c r="W560" s="92"/>
      <x:c r="X560" s="92"/>
      <x:c r="Y560" s="92"/>
      <x:c r="Z560" s="92"/>
    </x:row>
    <x:row r="561" spans="1:26">
      <x:c r="A561" s="106"/>
      <x:c r="B561" s="106"/>
      <x:c r="C561" s="106"/>
      <x:c r="D561" s="107"/>
      <x:c r="E561" s="108"/>
      <x:c r="F561" s="106"/>
      <x:c r="G561" s="106"/>
      <x:c r="H561" s="109"/>
      <x:c r="I561" s="110"/>
      <x:c r="J561" s="100"/>
      <x:c r="K561" s="100"/>
      <x:c r="L561" s="100"/>
      <x:c r="M561" s="100"/>
      <x:c r="N561" s="100"/>
      <x:c r="O561" s="100"/>
      <x:c r="P561" s="100"/>
      <x:c r="Q561" s="100"/>
      <x:c r="R561" s="100"/>
      <x:c r="S561" s="100"/>
      <x:c r="T561" s="100"/>
      <x:c r="U561" s="100"/>
      <x:c r="V561" s="100"/>
      <x:c r="W561" s="100"/>
      <x:c r="X561" s="100"/>
      <x:c r="Y561" s="100"/>
      <x:c r="Z561" s="100"/>
    </x:row>
    <x:row r="562" spans="1:26">
      <x:c r="A562" s="111"/>
      <x:c r="B562" s="111"/>
      <x:c r="C562" s="111"/>
      <x:c r="D562" s="112"/>
      <x:c r="E562" s="113"/>
      <x:c r="F562" s="111"/>
      <x:c r="G562" s="111"/>
      <x:c r="H562" s="114"/>
      <x:c r="I562" s="115"/>
      <x:c r="J562" s="92"/>
      <x:c r="K562" s="92"/>
      <x:c r="L562" s="92"/>
      <x:c r="M562" s="92"/>
      <x:c r="N562" s="92"/>
      <x:c r="O562" s="92"/>
      <x:c r="P562" s="92"/>
      <x:c r="Q562" s="92"/>
      <x:c r="R562" s="92"/>
      <x:c r="S562" s="92"/>
      <x:c r="T562" s="92"/>
      <x:c r="U562" s="92"/>
      <x:c r="V562" s="92"/>
      <x:c r="W562" s="92"/>
      <x:c r="X562" s="92"/>
      <x:c r="Y562" s="92"/>
      <x:c r="Z562" s="92"/>
    </x:row>
    <x:row r="563" spans="1:26">
      <x:c r="A563" s="106"/>
      <x:c r="B563" s="106"/>
      <x:c r="C563" s="106"/>
      <x:c r="D563" s="107"/>
      <x:c r="E563" s="108"/>
      <x:c r="F563" s="106"/>
      <x:c r="G563" s="106"/>
      <x:c r="H563" s="109"/>
      <x:c r="I563" s="110"/>
      <x:c r="J563" s="100"/>
      <x:c r="K563" s="100"/>
      <x:c r="L563" s="100"/>
      <x:c r="M563" s="100"/>
      <x:c r="N563" s="100"/>
      <x:c r="O563" s="100"/>
      <x:c r="P563" s="100"/>
      <x:c r="Q563" s="100"/>
      <x:c r="R563" s="100"/>
      <x:c r="S563" s="100"/>
      <x:c r="T563" s="100"/>
      <x:c r="U563" s="100"/>
      <x:c r="V563" s="100"/>
      <x:c r="W563" s="100"/>
      <x:c r="X563" s="100"/>
      <x:c r="Y563" s="100"/>
      <x:c r="Z563" s="100"/>
    </x:row>
    <x:row r="564" spans="1:26">
      <x:c r="A564" s="111"/>
      <x:c r="B564" s="111"/>
      <x:c r="C564" s="111"/>
      <x:c r="D564" s="112"/>
      <x:c r="E564" s="113"/>
      <x:c r="F564" s="111"/>
      <x:c r="G564" s="111"/>
      <x:c r="H564" s="114"/>
      <x:c r="I564" s="115"/>
      <x:c r="J564" s="92"/>
      <x:c r="K564" s="92"/>
      <x:c r="L564" s="92"/>
      <x:c r="M564" s="92"/>
      <x:c r="N564" s="92"/>
      <x:c r="O564" s="92"/>
      <x:c r="P564" s="92"/>
      <x:c r="Q564" s="92"/>
      <x:c r="R564" s="92"/>
      <x:c r="S564" s="92"/>
      <x:c r="T564" s="92"/>
      <x:c r="U564" s="92"/>
      <x:c r="V564" s="92"/>
      <x:c r="W564" s="92"/>
      <x:c r="X564" s="92"/>
      <x:c r="Y564" s="92"/>
      <x:c r="Z564" s="92"/>
    </x:row>
    <x:row r="565" spans="1:26">
      <x:c r="A565" s="106"/>
      <x:c r="B565" s="106"/>
      <x:c r="C565" s="106"/>
      <x:c r="D565" s="107"/>
      <x:c r="E565" s="108"/>
      <x:c r="F565" s="106"/>
      <x:c r="G565" s="106"/>
      <x:c r="H565" s="109"/>
      <x:c r="I565" s="110"/>
      <x:c r="J565" s="100"/>
      <x:c r="K565" s="100"/>
      <x:c r="L565" s="100"/>
      <x:c r="M565" s="100"/>
      <x:c r="N565" s="100"/>
      <x:c r="O565" s="100"/>
      <x:c r="P565" s="100"/>
      <x:c r="Q565" s="100"/>
      <x:c r="R565" s="100"/>
      <x:c r="S565" s="100"/>
      <x:c r="T565" s="100"/>
      <x:c r="U565" s="100"/>
      <x:c r="V565" s="100"/>
      <x:c r="W565" s="100"/>
      <x:c r="X565" s="100"/>
      <x:c r="Y565" s="100"/>
      <x:c r="Z565" s="100"/>
    </x:row>
    <x:row r="566" spans="1:26">
      <x:c r="A566" s="111"/>
      <x:c r="B566" s="111"/>
      <x:c r="C566" s="111"/>
      <x:c r="D566" s="112"/>
      <x:c r="E566" s="113"/>
      <x:c r="F566" s="111"/>
      <x:c r="G566" s="111"/>
      <x:c r="H566" s="114"/>
      <x:c r="I566" s="115"/>
      <x:c r="J566" s="92"/>
      <x:c r="K566" s="92"/>
      <x:c r="L566" s="92"/>
      <x:c r="M566" s="92"/>
      <x:c r="N566" s="92"/>
      <x:c r="O566" s="92"/>
      <x:c r="P566" s="92"/>
      <x:c r="Q566" s="92"/>
      <x:c r="R566" s="92"/>
      <x:c r="S566" s="92"/>
      <x:c r="T566" s="92"/>
      <x:c r="U566" s="92"/>
      <x:c r="V566" s="92"/>
      <x:c r="W566" s="92"/>
      <x:c r="X566" s="92"/>
      <x:c r="Y566" s="92"/>
      <x:c r="Z566" s="92"/>
    </x:row>
    <x:row r="567" spans="1:26">
      <x:c r="A567" s="106"/>
      <x:c r="B567" s="106"/>
      <x:c r="C567" s="106"/>
      <x:c r="D567" s="107"/>
      <x:c r="E567" s="108"/>
      <x:c r="F567" s="106"/>
      <x:c r="G567" s="106"/>
      <x:c r="H567" s="109"/>
      <x:c r="I567" s="110"/>
      <x:c r="J567" s="100"/>
      <x:c r="K567" s="100"/>
      <x:c r="L567" s="100"/>
      <x:c r="M567" s="100"/>
      <x:c r="N567" s="100"/>
      <x:c r="O567" s="100"/>
      <x:c r="P567" s="100"/>
      <x:c r="Q567" s="100"/>
      <x:c r="R567" s="100"/>
      <x:c r="S567" s="100"/>
      <x:c r="T567" s="100"/>
      <x:c r="U567" s="100"/>
      <x:c r="V567" s="100"/>
      <x:c r="W567" s="100"/>
      <x:c r="X567" s="100"/>
      <x:c r="Y567" s="100"/>
      <x:c r="Z567" s="100"/>
    </x:row>
    <x:row r="568" spans="1:26">
      <x:c r="A568" s="111"/>
      <x:c r="B568" s="111"/>
      <x:c r="C568" s="111"/>
      <x:c r="D568" s="112"/>
      <x:c r="E568" s="113"/>
      <x:c r="F568" s="111"/>
      <x:c r="G568" s="111"/>
      <x:c r="H568" s="114"/>
      <x:c r="I568" s="115"/>
      <x:c r="J568" s="92"/>
      <x:c r="K568" s="92"/>
      <x:c r="L568" s="92"/>
      <x:c r="M568" s="92"/>
      <x:c r="N568" s="92"/>
      <x:c r="O568" s="92"/>
      <x:c r="P568" s="92"/>
      <x:c r="Q568" s="92"/>
      <x:c r="R568" s="92"/>
      <x:c r="S568" s="92"/>
      <x:c r="T568" s="92"/>
      <x:c r="U568" s="92"/>
      <x:c r="V568" s="92"/>
      <x:c r="W568" s="92"/>
      <x:c r="X568" s="92"/>
      <x:c r="Y568" s="92"/>
      <x:c r="Z568" s="92"/>
    </x:row>
    <x:row r="569" spans="1:26">
      <x:c r="A569" s="106"/>
      <x:c r="B569" s="106"/>
      <x:c r="C569" s="106"/>
      <x:c r="D569" s="107"/>
      <x:c r="E569" s="108"/>
      <x:c r="F569" s="106"/>
      <x:c r="G569" s="106"/>
      <x:c r="H569" s="109"/>
      <x:c r="I569" s="110"/>
      <x:c r="J569" s="100"/>
      <x:c r="K569" s="100"/>
      <x:c r="L569" s="100"/>
      <x:c r="M569" s="100"/>
      <x:c r="N569" s="100"/>
      <x:c r="O569" s="100"/>
      <x:c r="P569" s="100"/>
      <x:c r="Q569" s="100"/>
      <x:c r="R569" s="100"/>
      <x:c r="S569" s="100"/>
      <x:c r="T569" s="100"/>
      <x:c r="U569" s="100"/>
      <x:c r="V569" s="100"/>
      <x:c r="W569" s="100"/>
      <x:c r="X569" s="100"/>
      <x:c r="Y569" s="100"/>
      <x:c r="Z569" s="100"/>
    </x:row>
    <x:row r="570" spans="1:26">
      <x:c r="A570" s="111"/>
      <x:c r="B570" s="111"/>
      <x:c r="C570" s="111"/>
      <x:c r="D570" s="112"/>
      <x:c r="E570" s="113"/>
      <x:c r="F570" s="111"/>
      <x:c r="G570" s="111"/>
      <x:c r="H570" s="114"/>
      <x:c r="I570" s="115"/>
      <x:c r="J570" s="92"/>
      <x:c r="K570" s="92"/>
      <x:c r="L570" s="92"/>
      <x:c r="M570" s="92"/>
      <x:c r="N570" s="92"/>
      <x:c r="O570" s="92"/>
      <x:c r="P570" s="92"/>
      <x:c r="Q570" s="92"/>
      <x:c r="R570" s="92"/>
      <x:c r="S570" s="92"/>
      <x:c r="T570" s="92"/>
      <x:c r="U570" s="92"/>
      <x:c r="V570" s="92"/>
      <x:c r="W570" s="92"/>
      <x:c r="X570" s="92"/>
      <x:c r="Y570" s="92"/>
      <x:c r="Z570" s="92"/>
    </x:row>
    <x:row r="571" spans="1:26">
      <x:c r="A571" s="106"/>
      <x:c r="B571" s="106"/>
      <x:c r="C571" s="106"/>
      <x:c r="D571" s="107"/>
      <x:c r="E571" s="108"/>
      <x:c r="F571" s="106"/>
      <x:c r="G571" s="106"/>
      <x:c r="H571" s="109"/>
      <x:c r="I571" s="110"/>
      <x:c r="J571" s="100"/>
      <x:c r="K571" s="100"/>
      <x:c r="L571" s="100"/>
      <x:c r="M571" s="100"/>
      <x:c r="N571" s="100"/>
      <x:c r="O571" s="100"/>
      <x:c r="P571" s="100"/>
      <x:c r="Q571" s="100"/>
      <x:c r="R571" s="100"/>
      <x:c r="S571" s="100"/>
      <x:c r="T571" s="100"/>
      <x:c r="U571" s="100"/>
      <x:c r="V571" s="100"/>
      <x:c r="W571" s="100"/>
      <x:c r="X571" s="100"/>
      <x:c r="Y571" s="100"/>
      <x:c r="Z571" s="100"/>
    </x:row>
    <x:row r="572" spans="1:26">
      <x:c r="A572" s="111"/>
      <x:c r="B572" s="111"/>
      <x:c r="C572" s="111"/>
      <x:c r="D572" s="112"/>
      <x:c r="E572" s="113"/>
      <x:c r="F572" s="111"/>
      <x:c r="G572" s="111"/>
      <x:c r="H572" s="114"/>
      <x:c r="I572" s="115"/>
      <x:c r="J572" s="92"/>
      <x:c r="K572" s="92"/>
      <x:c r="L572" s="92"/>
      <x:c r="M572" s="92"/>
      <x:c r="N572" s="92"/>
      <x:c r="O572" s="92"/>
      <x:c r="P572" s="92"/>
      <x:c r="Q572" s="92"/>
      <x:c r="R572" s="92"/>
      <x:c r="S572" s="92"/>
      <x:c r="T572" s="92"/>
      <x:c r="U572" s="92"/>
      <x:c r="V572" s="92"/>
      <x:c r="W572" s="92"/>
      <x:c r="X572" s="92"/>
      <x:c r="Y572" s="92"/>
      <x:c r="Z572" s="92"/>
    </x:row>
    <x:row r="573" spans="1:26">
      <x:c r="A573" s="106"/>
      <x:c r="B573" s="106"/>
      <x:c r="C573" s="106"/>
      <x:c r="D573" s="107"/>
      <x:c r="E573" s="108"/>
      <x:c r="F573" s="106"/>
      <x:c r="G573" s="106"/>
      <x:c r="H573" s="109"/>
      <x:c r="I573" s="110"/>
      <x:c r="J573" s="100"/>
      <x:c r="K573" s="100"/>
      <x:c r="L573" s="100"/>
      <x:c r="M573" s="100"/>
      <x:c r="N573" s="100"/>
      <x:c r="O573" s="100"/>
      <x:c r="P573" s="100"/>
      <x:c r="Q573" s="100"/>
      <x:c r="R573" s="100"/>
      <x:c r="S573" s="100"/>
      <x:c r="T573" s="100"/>
      <x:c r="U573" s="100"/>
      <x:c r="V573" s="100"/>
      <x:c r="W573" s="100"/>
      <x:c r="X573" s="100"/>
      <x:c r="Y573" s="100"/>
      <x:c r="Z573" s="100"/>
    </x:row>
    <x:row r="574" spans="1:26">
      <x:c r="A574" s="111"/>
      <x:c r="B574" s="111"/>
      <x:c r="C574" s="111"/>
      <x:c r="D574" s="112"/>
      <x:c r="E574" s="113"/>
      <x:c r="F574" s="111"/>
      <x:c r="G574" s="111"/>
      <x:c r="H574" s="114"/>
      <x:c r="I574" s="115"/>
      <x:c r="J574" s="92"/>
      <x:c r="K574" s="92"/>
      <x:c r="L574" s="92"/>
      <x:c r="M574" s="92"/>
      <x:c r="N574" s="92"/>
      <x:c r="O574" s="92"/>
      <x:c r="P574" s="92"/>
      <x:c r="Q574" s="92"/>
      <x:c r="R574" s="92"/>
      <x:c r="S574" s="92"/>
      <x:c r="T574" s="92"/>
      <x:c r="U574" s="92"/>
      <x:c r="V574" s="92"/>
      <x:c r="W574" s="92"/>
      <x:c r="X574" s="92"/>
      <x:c r="Y574" s="92"/>
      <x:c r="Z574" s="92"/>
    </x:row>
    <x:row r="575" spans="1:26">
      <x:c r="A575" s="106"/>
      <x:c r="B575" s="106"/>
      <x:c r="C575" s="106"/>
      <x:c r="D575" s="107"/>
      <x:c r="E575" s="108"/>
      <x:c r="F575" s="106"/>
      <x:c r="G575" s="106"/>
      <x:c r="H575" s="109"/>
      <x:c r="I575" s="110"/>
      <x:c r="J575" s="100"/>
      <x:c r="K575" s="100"/>
      <x:c r="L575" s="100"/>
      <x:c r="M575" s="100"/>
      <x:c r="N575" s="100"/>
      <x:c r="O575" s="100"/>
      <x:c r="P575" s="100"/>
      <x:c r="Q575" s="100"/>
      <x:c r="R575" s="100"/>
      <x:c r="S575" s="100"/>
      <x:c r="T575" s="100"/>
      <x:c r="U575" s="100"/>
      <x:c r="V575" s="100"/>
      <x:c r="W575" s="100"/>
      <x:c r="X575" s="100"/>
      <x:c r="Y575" s="100"/>
      <x:c r="Z575" s="100"/>
    </x:row>
    <x:row r="576" spans="1:26">
      <x:c r="A576" s="111"/>
      <x:c r="B576" s="111"/>
      <x:c r="C576" s="111"/>
      <x:c r="D576" s="112"/>
      <x:c r="E576" s="113"/>
      <x:c r="F576" s="111"/>
      <x:c r="G576" s="111"/>
      <x:c r="H576" s="114"/>
      <x:c r="I576" s="115"/>
      <x:c r="J576" s="92"/>
      <x:c r="K576" s="92"/>
      <x:c r="L576" s="92"/>
      <x:c r="M576" s="92"/>
      <x:c r="N576" s="92"/>
      <x:c r="O576" s="92"/>
      <x:c r="P576" s="92"/>
      <x:c r="Q576" s="92"/>
      <x:c r="R576" s="92"/>
      <x:c r="S576" s="92"/>
      <x:c r="T576" s="92"/>
      <x:c r="U576" s="92"/>
      <x:c r="V576" s="92"/>
      <x:c r="W576" s="92"/>
      <x:c r="X576" s="92"/>
      <x:c r="Y576" s="92"/>
      <x:c r="Z576" s="92"/>
    </x:row>
    <x:row r="577" spans="1:26">
      <x:c r="A577" s="106"/>
      <x:c r="B577" s="106"/>
      <x:c r="C577" s="106"/>
      <x:c r="D577" s="107"/>
      <x:c r="E577" s="108"/>
      <x:c r="F577" s="106"/>
      <x:c r="G577" s="106"/>
      <x:c r="H577" s="109"/>
      <x:c r="I577" s="110"/>
      <x:c r="J577" s="100"/>
      <x:c r="K577" s="100"/>
      <x:c r="L577" s="100"/>
      <x:c r="M577" s="100"/>
      <x:c r="N577" s="100"/>
      <x:c r="O577" s="100"/>
      <x:c r="P577" s="100"/>
      <x:c r="Q577" s="100"/>
      <x:c r="R577" s="100"/>
      <x:c r="S577" s="100"/>
      <x:c r="T577" s="100"/>
      <x:c r="U577" s="100"/>
      <x:c r="V577" s="100"/>
      <x:c r="W577" s="100"/>
      <x:c r="X577" s="100"/>
      <x:c r="Y577" s="100"/>
      <x:c r="Z577" s="100"/>
    </x:row>
    <x:row r="578" spans="1:26">
      <x:c r="A578" s="111"/>
      <x:c r="B578" s="111"/>
      <x:c r="C578" s="111"/>
      <x:c r="D578" s="112"/>
      <x:c r="E578" s="113"/>
      <x:c r="F578" s="111"/>
      <x:c r="G578" s="111"/>
      <x:c r="H578" s="114"/>
      <x:c r="I578" s="115"/>
      <x:c r="J578" s="92"/>
      <x:c r="K578" s="92"/>
      <x:c r="L578" s="92"/>
      <x:c r="M578" s="92"/>
      <x:c r="N578" s="92"/>
      <x:c r="O578" s="92"/>
      <x:c r="P578" s="92"/>
      <x:c r="Q578" s="92"/>
      <x:c r="R578" s="92"/>
      <x:c r="S578" s="92"/>
      <x:c r="T578" s="92"/>
      <x:c r="U578" s="92"/>
      <x:c r="V578" s="92"/>
      <x:c r="W578" s="92"/>
      <x:c r="X578" s="92"/>
      <x:c r="Y578" s="92"/>
      <x:c r="Z578" s="92"/>
    </x:row>
    <x:row r="579" spans="1:26">
      <x:c r="A579" s="106"/>
      <x:c r="B579" s="106"/>
      <x:c r="C579" s="106"/>
      <x:c r="D579" s="107"/>
      <x:c r="E579" s="108"/>
      <x:c r="F579" s="106"/>
      <x:c r="G579" s="106"/>
      <x:c r="H579" s="109"/>
      <x:c r="I579" s="110"/>
      <x:c r="J579" s="100"/>
      <x:c r="K579" s="100"/>
      <x:c r="L579" s="100"/>
      <x:c r="M579" s="100"/>
      <x:c r="N579" s="100"/>
      <x:c r="O579" s="100"/>
      <x:c r="P579" s="100"/>
      <x:c r="Q579" s="100"/>
      <x:c r="R579" s="100"/>
      <x:c r="S579" s="100"/>
      <x:c r="T579" s="100"/>
      <x:c r="U579" s="100"/>
      <x:c r="V579" s="100"/>
      <x:c r="W579" s="100"/>
      <x:c r="X579" s="100"/>
      <x:c r="Y579" s="100"/>
      <x:c r="Z579" s="100"/>
    </x:row>
    <x:row r="580" spans="1:26">
      <x:c r="A580" s="111"/>
      <x:c r="B580" s="111"/>
      <x:c r="C580" s="111"/>
      <x:c r="D580" s="112"/>
      <x:c r="E580" s="113"/>
      <x:c r="F580" s="111"/>
      <x:c r="G580" s="111"/>
      <x:c r="H580" s="114"/>
      <x:c r="I580" s="115"/>
      <x:c r="J580" s="92"/>
      <x:c r="K580" s="92"/>
      <x:c r="L580" s="92"/>
      <x:c r="M580" s="92"/>
      <x:c r="N580" s="92"/>
      <x:c r="O580" s="92"/>
      <x:c r="P580" s="92"/>
      <x:c r="Q580" s="92"/>
      <x:c r="R580" s="92"/>
      <x:c r="S580" s="92"/>
      <x:c r="T580" s="92"/>
      <x:c r="U580" s="92"/>
      <x:c r="V580" s="92"/>
      <x:c r="W580" s="92"/>
      <x:c r="X580" s="92"/>
      <x:c r="Y580" s="92"/>
      <x:c r="Z580" s="92"/>
    </x:row>
    <x:row r="581" spans="1:26">
      <x:c r="A581" s="106"/>
      <x:c r="B581" s="106"/>
      <x:c r="C581" s="106"/>
      <x:c r="D581" s="107"/>
      <x:c r="E581" s="108"/>
      <x:c r="F581" s="106"/>
      <x:c r="G581" s="106"/>
      <x:c r="H581" s="109"/>
      <x:c r="I581" s="110"/>
      <x:c r="J581" s="100"/>
      <x:c r="K581" s="100"/>
      <x:c r="L581" s="100"/>
      <x:c r="M581" s="100"/>
      <x:c r="N581" s="100"/>
      <x:c r="O581" s="100"/>
      <x:c r="P581" s="100"/>
      <x:c r="Q581" s="100"/>
      <x:c r="R581" s="100"/>
      <x:c r="S581" s="100"/>
      <x:c r="T581" s="100"/>
      <x:c r="U581" s="100"/>
      <x:c r="V581" s="100"/>
      <x:c r="W581" s="100"/>
      <x:c r="X581" s="100"/>
      <x:c r="Y581" s="100"/>
      <x:c r="Z581" s="100"/>
    </x:row>
    <x:row r="582" spans="1:26">
      <x:c r="A582" s="111"/>
      <x:c r="B582" s="111"/>
      <x:c r="C582" s="111"/>
      <x:c r="D582" s="112"/>
      <x:c r="E582" s="113"/>
      <x:c r="F582" s="111"/>
      <x:c r="G582" s="111"/>
      <x:c r="H582" s="114"/>
      <x:c r="I582" s="115"/>
      <x:c r="J582" s="92"/>
      <x:c r="K582" s="92"/>
      <x:c r="L582" s="92"/>
      <x:c r="M582" s="92"/>
      <x:c r="N582" s="92"/>
      <x:c r="O582" s="92"/>
      <x:c r="P582" s="92"/>
      <x:c r="Q582" s="92"/>
      <x:c r="R582" s="92"/>
      <x:c r="S582" s="92"/>
      <x:c r="T582" s="92"/>
      <x:c r="U582" s="92"/>
      <x:c r="V582" s="92"/>
      <x:c r="W582" s="92"/>
      <x:c r="X582" s="92"/>
      <x:c r="Y582" s="92"/>
      <x:c r="Z582" s="92"/>
    </x:row>
    <x:row r="583" spans="1:26">
      <x:c r="A583" s="106"/>
      <x:c r="B583" s="106"/>
      <x:c r="C583" s="106"/>
      <x:c r="D583" s="107"/>
      <x:c r="E583" s="108"/>
      <x:c r="F583" s="106"/>
      <x:c r="G583" s="106"/>
      <x:c r="H583" s="109"/>
      <x:c r="I583" s="110"/>
      <x:c r="J583" s="100"/>
      <x:c r="K583" s="100"/>
      <x:c r="L583" s="100"/>
      <x:c r="M583" s="100"/>
      <x:c r="N583" s="100"/>
      <x:c r="O583" s="100"/>
      <x:c r="P583" s="100"/>
      <x:c r="Q583" s="100"/>
      <x:c r="R583" s="100"/>
      <x:c r="S583" s="100"/>
      <x:c r="T583" s="100"/>
      <x:c r="U583" s="100"/>
      <x:c r="V583" s="100"/>
      <x:c r="W583" s="100"/>
      <x:c r="X583" s="100"/>
      <x:c r="Y583" s="100"/>
      <x:c r="Z583" s="100"/>
    </x:row>
    <x:row r="584" spans="1:26">
      <x:c r="A584" s="111"/>
      <x:c r="B584" s="111"/>
      <x:c r="C584" s="111"/>
      <x:c r="D584" s="112"/>
      <x:c r="E584" s="113"/>
      <x:c r="F584" s="111"/>
      <x:c r="G584" s="111"/>
      <x:c r="H584" s="114"/>
      <x:c r="I584" s="115"/>
      <x:c r="J584" s="92"/>
      <x:c r="K584" s="92"/>
      <x:c r="L584" s="92"/>
      <x:c r="M584" s="92"/>
      <x:c r="N584" s="92"/>
      <x:c r="O584" s="92"/>
      <x:c r="P584" s="92"/>
      <x:c r="Q584" s="92"/>
      <x:c r="R584" s="92"/>
      <x:c r="S584" s="92"/>
      <x:c r="T584" s="92"/>
      <x:c r="U584" s="92"/>
      <x:c r="V584" s="92"/>
      <x:c r="W584" s="92"/>
      <x:c r="X584" s="92"/>
      <x:c r="Y584" s="92"/>
      <x:c r="Z584" s="92"/>
    </x:row>
    <x:row r="585" spans="1:26">
      <x:c r="A585" s="106"/>
      <x:c r="B585" s="106"/>
      <x:c r="C585" s="106"/>
      <x:c r="D585" s="107"/>
      <x:c r="E585" s="108"/>
      <x:c r="F585" s="106"/>
      <x:c r="G585" s="106"/>
      <x:c r="H585" s="109"/>
      <x:c r="I585" s="110"/>
      <x:c r="J585" s="100"/>
      <x:c r="K585" s="100"/>
      <x:c r="L585" s="100"/>
      <x:c r="M585" s="100"/>
      <x:c r="N585" s="100"/>
      <x:c r="O585" s="100"/>
      <x:c r="P585" s="100"/>
      <x:c r="Q585" s="100"/>
      <x:c r="R585" s="100"/>
      <x:c r="S585" s="100"/>
      <x:c r="T585" s="100"/>
      <x:c r="U585" s="100"/>
      <x:c r="V585" s="100"/>
      <x:c r="W585" s="100"/>
      <x:c r="X585" s="100"/>
      <x:c r="Y585" s="100"/>
      <x:c r="Z585" s="100"/>
    </x:row>
    <x:row r="586" spans="1:26">
      <x:c r="A586" s="111"/>
      <x:c r="B586" s="111"/>
      <x:c r="C586" s="111"/>
      <x:c r="D586" s="112"/>
      <x:c r="E586" s="113"/>
      <x:c r="F586" s="111"/>
      <x:c r="G586" s="111"/>
      <x:c r="H586" s="114"/>
      <x:c r="I586" s="115"/>
      <x:c r="J586" s="92"/>
      <x:c r="K586" s="92"/>
      <x:c r="L586" s="92"/>
      <x:c r="M586" s="92"/>
      <x:c r="N586" s="92"/>
      <x:c r="O586" s="92"/>
      <x:c r="P586" s="92"/>
      <x:c r="Q586" s="92"/>
      <x:c r="R586" s="92"/>
      <x:c r="S586" s="92"/>
      <x:c r="T586" s="92"/>
      <x:c r="U586" s="92"/>
      <x:c r="V586" s="92"/>
      <x:c r="W586" s="92"/>
      <x:c r="X586" s="92"/>
      <x:c r="Y586" s="92"/>
      <x:c r="Z586" s="92"/>
    </x:row>
    <x:row r="587" spans="1:26">
      <x:c r="A587" s="106"/>
      <x:c r="B587" s="106"/>
      <x:c r="C587" s="106"/>
      <x:c r="D587" s="107"/>
      <x:c r="E587" s="108"/>
      <x:c r="F587" s="106"/>
      <x:c r="G587" s="106"/>
      <x:c r="H587" s="109"/>
      <x:c r="I587" s="110"/>
      <x:c r="J587" s="100"/>
      <x:c r="K587" s="100"/>
      <x:c r="L587" s="100"/>
      <x:c r="M587" s="100"/>
      <x:c r="N587" s="100"/>
      <x:c r="O587" s="100"/>
      <x:c r="P587" s="100"/>
      <x:c r="Q587" s="100"/>
      <x:c r="R587" s="100"/>
      <x:c r="S587" s="100"/>
      <x:c r="T587" s="100"/>
      <x:c r="U587" s="100"/>
      <x:c r="V587" s="100"/>
      <x:c r="W587" s="100"/>
      <x:c r="X587" s="100"/>
      <x:c r="Y587" s="100"/>
      <x:c r="Z587" s="100"/>
    </x:row>
    <x:row r="588" spans="1:26">
      <x:c r="A588" s="111"/>
      <x:c r="B588" s="111"/>
      <x:c r="C588" s="111"/>
      <x:c r="D588" s="112"/>
      <x:c r="E588" s="113"/>
      <x:c r="F588" s="111"/>
      <x:c r="G588" s="111"/>
      <x:c r="H588" s="114"/>
      <x:c r="I588" s="115"/>
      <x:c r="J588" s="92"/>
      <x:c r="K588" s="92"/>
      <x:c r="L588" s="92"/>
      <x:c r="M588" s="92"/>
      <x:c r="N588" s="92"/>
      <x:c r="O588" s="92"/>
      <x:c r="P588" s="92"/>
      <x:c r="Q588" s="92"/>
      <x:c r="R588" s="92"/>
      <x:c r="S588" s="92"/>
      <x:c r="T588" s="92"/>
      <x:c r="U588" s="92"/>
      <x:c r="V588" s="92"/>
      <x:c r="W588" s="92"/>
      <x:c r="X588" s="92"/>
      <x:c r="Y588" s="92"/>
      <x:c r="Z588" s="92"/>
    </x:row>
    <x:row r="589" spans="1:26">
      <x:c r="A589" s="106"/>
      <x:c r="B589" s="106"/>
      <x:c r="C589" s="106"/>
      <x:c r="D589" s="107"/>
      <x:c r="E589" s="108"/>
      <x:c r="F589" s="106"/>
      <x:c r="G589" s="106"/>
      <x:c r="H589" s="109"/>
      <x:c r="I589" s="110"/>
      <x:c r="J589" s="100"/>
      <x:c r="K589" s="100"/>
      <x:c r="L589" s="100"/>
      <x:c r="M589" s="100"/>
      <x:c r="N589" s="100"/>
      <x:c r="O589" s="100"/>
      <x:c r="P589" s="100"/>
      <x:c r="Q589" s="100"/>
      <x:c r="R589" s="100"/>
      <x:c r="S589" s="100"/>
      <x:c r="T589" s="100"/>
      <x:c r="U589" s="100"/>
      <x:c r="V589" s="100"/>
      <x:c r="W589" s="100"/>
      <x:c r="X589" s="100"/>
      <x:c r="Y589" s="100"/>
      <x:c r="Z589" s="100"/>
    </x:row>
    <x:row r="590" spans="1:26">
      <x:c r="A590" s="111"/>
      <x:c r="B590" s="111"/>
      <x:c r="C590" s="111"/>
      <x:c r="D590" s="112"/>
      <x:c r="E590" s="113"/>
      <x:c r="F590" s="111"/>
      <x:c r="G590" s="111"/>
      <x:c r="H590" s="114"/>
      <x:c r="I590" s="115"/>
      <x:c r="J590" s="92"/>
      <x:c r="K590" s="92"/>
      <x:c r="L590" s="92"/>
      <x:c r="M590" s="92"/>
      <x:c r="N590" s="92"/>
      <x:c r="O590" s="92"/>
      <x:c r="P590" s="92"/>
      <x:c r="Q590" s="92"/>
      <x:c r="R590" s="92"/>
      <x:c r="S590" s="92"/>
      <x:c r="T590" s="92"/>
      <x:c r="U590" s="92"/>
      <x:c r="V590" s="92"/>
      <x:c r="W590" s="92"/>
      <x:c r="X590" s="92"/>
      <x:c r="Y590" s="92"/>
      <x:c r="Z590" s="92"/>
    </x:row>
    <x:row r="591" spans="1:26">
      <x:c r="A591" s="106"/>
      <x:c r="B591" s="106"/>
      <x:c r="C591" s="106"/>
      <x:c r="D591" s="107"/>
      <x:c r="E591" s="108"/>
      <x:c r="F591" s="106"/>
      <x:c r="G591" s="106"/>
      <x:c r="H591" s="109"/>
      <x:c r="I591" s="110"/>
      <x:c r="J591" s="100"/>
      <x:c r="K591" s="100"/>
      <x:c r="L591" s="100"/>
      <x:c r="M591" s="100"/>
      <x:c r="N591" s="100"/>
      <x:c r="O591" s="100"/>
      <x:c r="P591" s="100"/>
      <x:c r="Q591" s="100"/>
      <x:c r="R591" s="100"/>
      <x:c r="S591" s="100"/>
      <x:c r="T591" s="100"/>
      <x:c r="U591" s="100"/>
      <x:c r="V591" s="100"/>
      <x:c r="W591" s="100"/>
      <x:c r="X591" s="100"/>
      <x:c r="Y591" s="100"/>
      <x:c r="Z591" s="100"/>
    </x:row>
    <x:row r="592" spans="1:26">
      <x:c r="A592" s="111"/>
      <x:c r="B592" s="111"/>
      <x:c r="C592" s="111"/>
      <x:c r="D592" s="112"/>
      <x:c r="E592" s="113"/>
      <x:c r="F592" s="111"/>
      <x:c r="G592" s="111"/>
      <x:c r="H592" s="114"/>
      <x:c r="I592" s="115"/>
      <x:c r="J592" s="92"/>
      <x:c r="K592" s="92"/>
      <x:c r="L592" s="92"/>
      <x:c r="M592" s="92"/>
      <x:c r="N592" s="92"/>
      <x:c r="O592" s="92"/>
      <x:c r="P592" s="92"/>
      <x:c r="Q592" s="92"/>
      <x:c r="R592" s="92"/>
      <x:c r="S592" s="92"/>
      <x:c r="T592" s="92"/>
      <x:c r="U592" s="92"/>
      <x:c r="V592" s="92"/>
      <x:c r="W592" s="92"/>
      <x:c r="X592" s="92"/>
      <x:c r="Y592" s="92"/>
      <x:c r="Z592" s="92"/>
    </x:row>
    <x:row r="593" spans="1:26">
      <x:c r="A593" s="106"/>
      <x:c r="B593" s="106"/>
      <x:c r="C593" s="106"/>
      <x:c r="D593" s="107"/>
      <x:c r="E593" s="108"/>
      <x:c r="F593" s="106"/>
      <x:c r="G593" s="106"/>
      <x:c r="H593" s="109"/>
      <x:c r="I593" s="110"/>
      <x:c r="J593" s="100"/>
      <x:c r="K593" s="100"/>
      <x:c r="L593" s="100"/>
      <x:c r="M593" s="100"/>
      <x:c r="N593" s="100"/>
      <x:c r="O593" s="100"/>
      <x:c r="P593" s="100"/>
      <x:c r="Q593" s="100"/>
      <x:c r="R593" s="100"/>
      <x:c r="S593" s="100"/>
      <x:c r="T593" s="100"/>
      <x:c r="U593" s="100"/>
      <x:c r="V593" s="100"/>
      <x:c r="W593" s="100"/>
      <x:c r="X593" s="100"/>
      <x:c r="Y593" s="100"/>
      <x:c r="Z593" s="100"/>
    </x:row>
    <x:row r="594" spans="1:26">
      <x:c r="A594" s="111"/>
      <x:c r="B594" s="111"/>
      <x:c r="C594" s="111"/>
      <x:c r="D594" s="112"/>
      <x:c r="E594" s="113"/>
      <x:c r="F594" s="111"/>
      <x:c r="G594" s="111"/>
      <x:c r="H594" s="114"/>
      <x:c r="I594" s="115"/>
      <x:c r="J594" s="92"/>
      <x:c r="K594" s="92"/>
      <x:c r="L594" s="92"/>
      <x:c r="M594" s="92"/>
      <x:c r="N594" s="92"/>
      <x:c r="O594" s="92"/>
      <x:c r="P594" s="92"/>
      <x:c r="Q594" s="92"/>
      <x:c r="R594" s="92"/>
      <x:c r="S594" s="92"/>
      <x:c r="T594" s="92"/>
      <x:c r="U594" s="92"/>
      <x:c r="V594" s="92"/>
      <x:c r="W594" s="92"/>
      <x:c r="X594" s="92"/>
      <x:c r="Y594" s="92"/>
      <x:c r="Z594" s="92"/>
    </x:row>
    <x:row r="595" spans="1:26">
      <x:c r="A595" s="106"/>
      <x:c r="B595" s="106"/>
      <x:c r="C595" s="106"/>
      <x:c r="D595" s="107"/>
      <x:c r="E595" s="108"/>
      <x:c r="F595" s="106"/>
      <x:c r="G595" s="106"/>
      <x:c r="H595" s="109"/>
      <x:c r="I595" s="110"/>
      <x:c r="J595" s="100"/>
      <x:c r="K595" s="100"/>
      <x:c r="L595" s="100"/>
      <x:c r="M595" s="100"/>
      <x:c r="N595" s="100"/>
      <x:c r="O595" s="100"/>
      <x:c r="P595" s="100"/>
      <x:c r="Q595" s="100"/>
      <x:c r="R595" s="100"/>
      <x:c r="S595" s="100"/>
      <x:c r="T595" s="100"/>
      <x:c r="U595" s="100"/>
      <x:c r="V595" s="100"/>
      <x:c r="W595" s="100"/>
      <x:c r="X595" s="100"/>
      <x:c r="Y595" s="100"/>
      <x:c r="Z595" s="100"/>
    </x:row>
    <x:row r="596" spans="1:26">
      <x:c r="A596" s="111"/>
      <x:c r="B596" s="111"/>
      <x:c r="C596" s="111"/>
      <x:c r="D596" s="112"/>
      <x:c r="E596" s="113"/>
      <x:c r="F596" s="111"/>
      <x:c r="G596" s="111"/>
      <x:c r="H596" s="114"/>
      <x:c r="I596" s="115"/>
      <x:c r="J596" s="92"/>
      <x:c r="K596" s="92"/>
      <x:c r="L596" s="92"/>
      <x:c r="M596" s="92"/>
      <x:c r="N596" s="92"/>
      <x:c r="O596" s="92"/>
      <x:c r="P596" s="92"/>
      <x:c r="Q596" s="92"/>
      <x:c r="R596" s="92"/>
      <x:c r="S596" s="92"/>
      <x:c r="T596" s="92"/>
      <x:c r="U596" s="92"/>
      <x:c r="V596" s="92"/>
      <x:c r="W596" s="92"/>
      <x:c r="X596" s="92"/>
      <x:c r="Y596" s="92"/>
      <x:c r="Z596" s="92"/>
    </x:row>
    <x:row r="597" spans="1:26">
      <x:c r="A597" s="106"/>
      <x:c r="B597" s="106"/>
      <x:c r="C597" s="106"/>
      <x:c r="D597" s="107"/>
      <x:c r="E597" s="108"/>
      <x:c r="F597" s="106"/>
      <x:c r="G597" s="106"/>
      <x:c r="H597" s="109"/>
      <x:c r="I597" s="110"/>
      <x:c r="J597" s="100"/>
      <x:c r="K597" s="100"/>
      <x:c r="L597" s="100"/>
      <x:c r="M597" s="100"/>
      <x:c r="N597" s="100"/>
      <x:c r="O597" s="100"/>
      <x:c r="P597" s="100"/>
      <x:c r="Q597" s="100"/>
      <x:c r="R597" s="100"/>
      <x:c r="S597" s="100"/>
      <x:c r="T597" s="100"/>
      <x:c r="U597" s="100"/>
      <x:c r="V597" s="100"/>
      <x:c r="W597" s="100"/>
      <x:c r="X597" s="100"/>
      <x:c r="Y597" s="100"/>
      <x:c r="Z597" s="100"/>
    </x:row>
    <x:row r="598" spans="1:26">
      <x:c r="A598" s="111"/>
      <x:c r="B598" s="111"/>
      <x:c r="C598" s="111"/>
      <x:c r="D598" s="112"/>
      <x:c r="E598" s="113"/>
      <x:c r="F598" s="111"/>
      <x:c r="G598" s="111"/>
      <x:c r="H598" s="114"/>
      <x:c r="I598" s="115"/>
      <x:c r="J598" s="92"/>
      <x:c r="K598" s="92"/>
      <x:c r="L598" s="92"/>
      <x:c r="M598" s="92"/>
      <x:c r="N598" s="92"/>
      <x:c r="O598" s="92"/>
      <x:c r="P598" s="92"/>
      <x:c r="Q598" s="92"/>
      <x:c r="R598" s="92"/>
      <x:c r="S598" s="92"/>
      <x:c r="T598" s="92"/>
      <x:c r="U598" s="92"/>
      <x:c r="V598" s="92"/>
      <x:c r="W598" s="92"/>
      <x:c r="X598" s="92"/>
      <x:c r="Y598" s="92"/>
      <x:c r="Z598" s="92"/>
    </x:row>
    <x:row r="599" spans="1:26">
      <x:c r="A599" s="106"/>
      <x:c r="B599" s="106"/>
      <x:c r="C599" s="106"/>
      <x:c r="D599" s="107"/>
      <x:c r="E599" s="108"/>
      <x:c r="F599" s="106"/>
      <x:c r="G599" s="106"/>
      <x:c r="H599" s="109"/>
      <x:c r="I599" s="110"/>
      <x:c r="J599" s="100"/>
      <x:c r="K599" s="100"/>
      <x:c r="L599" s="100"/>
      <x:c r="M599" s="100"/>
      <x:c r="N599" s="100"/>
      <x:c r="O599" s="100"/>
      <x:c r="P599" s="100"/>
      <x:c r="Q599" s="100"/>
      <x:c r="R599" s="100"/>
      <x:c r="S599" s="100"/>
      <x:c r="T599" s="100"/>
      <x:c r="U599" s="100"/>
      <x:c r="V599" s="100"/>
      <x:c r="W599" s="100"/>
      <x:c r="X599" s="100"/>
      <x:c r="Y599" s="100"/>
      <x:c r="Z599" s="100"/>
    </x:row>
    <x:row r="600" spans="1:26">
      <x:c r="A600" s="111"/>
      <x:c r="B600" s="111"/>
      <x:c r="C600" s="111"/>
      <x:c r="D600" s="112"/>
      <x:c r="E600" s="113"/>
      <x:c r="F600" s="111"/>
      <x:c r="G600" s="111"/>
      <x:c r="H600" s="114"/>
      <x:c r="I600" s="115"/>
      <x:c r="J600" s="92"/>
      <x:c r="K600" s="92"/>
      <x:c r="L600" s="92"/>
      <x:c r="M600" s="92"/>
      <x:c r="N600" s="92"/>
      <x:c r="O600" s="92"/>
      <x:c r="P600" s="92"/>
      <x:c r="Q600" s="92"/>
      <x:c r="R600" s="92"/>
      <x:c r="S600" s="92"/>
      <x:c r="T600" s="92"/>
      <x:c r="U600" s="92"/>
      <x:c r="V600" s="92"/>
      <x:c r="W600" s="92"/>
      <x:c r="X600" s="92"/>
      <x:c r="Y600" s="92"/>
      <x:c r="Z600" s="92"/>
    </x:row>
    <x:row r="601" spans="1:26">
      <x:c r="A601" s="106"/>
      <x:c r="B601" s="106"/>
      <x:c r="C601" s="106"/>
      <x:c r="D601" s="107"/>
      <x:c r="E601" s="108"/>
      <x:c r="F601" s="106"/>
      <x:c r="G601" s="106"/>
      <x:c r="H601" s="109"/>
      <x:c r="I601" s="110"/>
      <x:c r="J601" s="100"/>
      <x:c r="K601" s="100"/>
      <x:c r="L601" s="100"/>
      <x:c r="M601" s="100"/>
      <x:c r="N601" s="100"/>
      <x:c r="O601" s="100"/>
      <x:c r="P601" s="100"/>
      <x:c r="Q601" s="100"/>
      <x:c r="R601" s="100"/>
      <x:c r="S601" s="100"/>
      <x:c r="T601" s="100"/>
      <x:c r="U601" s="100"/>
      <x:c r="V601" s="100"/>
      <x:c r="W601" s="100"/>
      <x:c r="X601" s="100"/>
      <x:c r="Y601" s="100"/>
      <x:c r="Z601" s="100"/>
    </x:row>
    <x:row r="602" spans="1:26">
      <x:c r="A602" s="111"/>
      <x:c r="B602" s="111"/>
      <x:c r="C602" s="111"/>
      <x:c r="D602" s="112"/>
      <x:c r="E602" s="113"/>
      <x:c r="F602" s="111"/>
      <x:c r="G602" s="111"/>
      <x:c r="H602" s="114"/>
      <x:c r="I602" s="115"/>
      <x:c r="J602" s="92"/>
      <x:c r="K602" s="92"/>
      <x:c r="L602" s="92"/>
      <x:c r="M602" s="92"/>
      <x:c r="N602" s="92"/>
      <x:c r="O602" s="92"/>
      <x:c r="P602" s="92"/>
      <x:c r="Q602" s="92"/>
      <x:c r="R602" s="92"/>
      <x:c r="S602" s="92"/>
      <x:c r="T602" s="92"/>
      <x:c r="U602" s="92"/>
      <x:c r="V602" s="92"/>
      <x:c r="W602" s="92"/>
      <x:c r="X602" s="92"/>
      <x:c r="Y602" s="92"/>
      <x:c r="Z602" s="92"/>
    </x:row>
    <x:row r="603" spans="1:26">
      <x:c r="A603" s="106"/>
      <x:c r="B603" s="106"/>
      <x:c r="C603" s="106"/>
      <x:c r="D603" s="107"/>
      <x:c r="E603" s="108"/>
      <x:c r="F603" s="106"/>
      <x:c r="G603" s="106"/>
      <x:c r="H603" s="109"/>
      <x:c r="I603" s="110"/>
      <x:c r="J603" s="100"/>
      <x:c r="K603" s="100"/>
      <x:c r="L603" s="100"/>
      <x:c r="M603" s="100"/>
      <x:c r="N603" s="100"/>
      <x:c r="O603" s="100"/>
      <x:c r="P603" s="100"/>
      <x:c r="Q603" s="100"/>
      <x:c r="R603" s="100"/>
      <x:c r="S603" s="100"/>
      <x:c r="T603" s="100"/>
      <x:c r="U603" s="100"/>
      <x:c r="V603" s="100"/>
      <x:c r="W603" s="100"/>
      <x:c r="X603" s="100"/>
      <x:c r="Y603" s="100"/>
      <x:c r="Z603" s="100"/>
    </x:row>
    <x:row r="604" spans="1:26">
      <x:c r="A604" s="111"/>
      <x:c r="B604" s="111"/>
      <x:c r="C604" s="111"/>
      <x:c r="D604" s="112"/>
      <x:c r="E604" s="113"/>
      <x:c r="F604" s="111"/>
      <x:c r="G604" s="111"/>
      <x:c r="H604" s="114"/>
      <x:c r="I604" s="115"/>
      <x:c r="J604" s="92"/>
      <x:c r="K604" s="92"/>
      <x:c r="L604" s="92"/>
      <x:c r="M604" s="92"/>
      <x:c r="N604" s="92"/>
      <x:c r="O604" s="92"/>
      <x:c r="P604" s="92"/>
      <x:c r="Q604" s="92"/>
      <x:c r="R604" s="92"/>
      <x:c r="S604" s="92"/>
      <x:c r="T604" s="92"/>
      <x:c r="U604" s="92"/>
      <x:c r="V604" s="92"/>
      <x:c r="W604" s="92"/>
      <x:c r="X604" s="92"/>
      <x:c r="Y604" s="92"/>
      <x:c r="Z604" s="92"/>
    </x:row>
    <x:row r="605" spans="1:26">
      <x:c r="A605" s="106"/>
      <x:c r="B605" s="106"/>
      <x:c r="C605" s="106"/>
      <x:c r="D605" s="107"/>
      <x:c r="E605" s="108"/>
      <x:c r="F605" s="106"/>
      <x:c r="G605" s="106"/>
      <x:c r="H605" s="109"/>
      <x:c r="I605" s="110"/>
      <x:c r="J605" s="100"/>
      <x:c r="K605" s="100"/>
      <x:c r="L605" s="100"/>
      <x:c r="M605" s="100"/>
      <x:c r="N605" s="100"/>
      <x:c r="O605" s="100"/>
      <x:c r="P605" s="100"/>
      <x:c r="Q605" s="100"/>
      <x:c r="R605" s="100"/>
      <x:c r="S605" s="100"/>
      <x:c r="T605" s="100"/>
      <x:c r="U605" s="100"/>
      <x:c r="V605" s="100"/>
      <x:c r="W605" s="100"/>
      <x:c r="X605" s="100"/>
      <x:c r="Y605" s="100"/>
      <x:c r="Z605" s="100"/>
    </x:row>
    <x:row r="606" spans="1:26">
      <x:c r="A606" s="111"/>
      <x:c r="B606" s="111"/>
      <x:c r="C606" s="111"/>
      <x:c r="D606" s="112"/>
      <x:c r="E606" s="113"/>
      <x:c r="F606" s="111"/>
      <x:c r="G606" s="111"/>
      <x:c r="H606" s="114"/>
      <x:c r="I606" s="115"/>
      <x:c r="J606" s="92"/>
      <x:c r="K606" s="92"/>
      <x:c r="L606" s="92"/>
      <x:c r="M606" s="92"/>
      <x:c r="N606" s="92"/>
      <x:c r="O606" s="92"/>
      <x:c r="P606" s="92"/>
      <x:c r="Q606" s="92"/>
      <x:c r="R606" s="92"/>
      <x:c r="S606" s="92"/>
      <x:c r="T606" s="92"/>
      <x:c r="U606" s="92"/>
      <x:c r="V606" s="92"/>
      <x:c r="W606" s="92"/>
      <x:c r="X606" s="92"/>
      <x:c r="Y606" s="92"/>
      <x:c r="Z606" s="92"/>
    </x:row>
    <x:row r="607" spans="1:26">
      <x:c r="A607" s="106"/>
      <x:c r="B607" s="106"/>
      <x:c r="C607" s="106"/>
      <x:c r="D607" s="107"/>
      <x:c r="E607" s="108"/>
      <x:c r="F607" s="106"/>
      <x:c r="G607" s="106"/>
      <x:c r="H607" s="109"/>
      <x:c r="I607" s="110"/>
      <x:c r="J607" s="100"/>
      <x:c r="K607" s="100"/>
      <x:c r="L607" s="100"/>
      <x:c r="M607" s="100"/>
      <x:c r="N607" s="100"/>
      <x:c r="O607" s="100"/>
      <x:c r="P607" s="100"/>
      <x:c r="Q607" s="100"/>
      <x:c r="R607" s="100"/>
      <x:c r="S607" s="100"/>
      <x:c r="T607" s="100"/>
      <x:c r="U607" s="100"/>
      <x:c r="V607" s="100"/>
      <x:c r="W607" s="100"/>
      <x:c r="X607" s="100"/>
      <x:c r="Y607" s="100"/>
      <x:c r="Z607" s="100"/>
    </x:row>
    <x:row r="608" spans="1:26">
      <x:c r="A608" s="111"/>
      <x:c r="B608" s="111"/>
      <x:c r="C608" s="111"/>
      <x:c r="D608" s="112"/>
      <x:c r="E608" s="113"/>
      <x:c r="F608" s="111"/>
      <x:c r="G608" s="111"/>
      <x:c r="H608" s="114"/>
      <x:c r="I608" s="115"/>
      <x:c r="J608" s="92"/>
      <x:c r="K608" s="92"/>
      <x:c r="L608" s="92"/>
      <x:c r="M608" s="92"/>
      <x:c r="N608" s="92"/>
      <x:c r="O608" s="92"/>
      <x:c r="P608" s="92"/>
      <x:c r="Q608" s="92"/>
      <x:c r="R608" s="92"/>
      <x:c r="S608" s="92"/>
      <x:c r="T608" s="92"/>
      <x:c r="U608" s="92"/>
      <x:c r="V608" s="92"/>
      <x:c r="W608" s="92"/>
      <x:c r="X608" s="92"/>
      <x:c r="Y608" s="92"/>
      <x:c r="Z608" s="92"/>
    </x:row>
    <x:row r="609" spans="1:26">
      <x:c r="A609" s="106"/>
      <x:c r="B609" s="106"/>
      <x:c r="C609" s="106"/>
      <x:c r="D609" s="107"/>
      <x:c r="E609" s="108"/>
      <x:c r="F609" s="106"/>
      <x:c r="G609" s="106"/>
      <x:c r="H609" s="109"/>
      <x:c r="I609" s="110"/>
      <x:c r="J609" s="100"/>
      <x:c r="K609" s="100"/>
      <x:c r="L609" s="100"/>
      <x:c r="M609" s="100"/>
      <x:c r="N609" s="100"/>
      <x:c r="O609" s="100"/>
      <x:c r="P609" s="100"/>
      <x:c r="Q609" s="100"/>
      <x:c r="R609" s="100"/>
      <x:c r="S609" s="100"/>
      <x:c r="T609" s="100"/>
      <x:c r="U609" s="100"/>
      <x:c r="V609" s="100"/>
      <x:c r="W609" s="100"/>
      <x:c r="X609" s="100"/>
      <x:c r="Y609" s="100"/>
      <x:c r="Z609" s="100"/>
    </x:row>
    <x:row r="610" spans="1:26">
      <x:c r="A610" s="111"/>
      <x:c r="B610" s="111"/>
      <x:c r="C610" s="111"/>
      <x:c r="D610" s="112"/>
      <x:c r="E610" s="113"/>
      <x:c r="F610" s="111"/>
      <x:c r="G610" s="111"/>
      <x:c r="H610" s="114"/>
      <x:c r="I610" s="115"/>
      <x:c r="J610" s="92"/>
      <x:c r="K610" s="92"/>
      <x:c r="L610" s="92"/>
      <x:c r="M610" s="92"/>
      <x:c r="N610" s="92"/>
      <x:c r="O610" s="92"/>
      <x:c r="P610" s="92"/>
      <x:c r="Q610" s="92"/>
      <x:c r="R610" s="92"/>
      <x:c r="S610" s="92"/>
      <x:c r="T610" s="92"/>
      <x:c r="U610" s="92"/>
      <x:c r="V610" s="92"/>
      <x:c r="W610" s="92"/>
      <x:c r="X610" s="92"/>
      <x:c r="Y610" s="92"/>
      <x:c r="Z610" s="92"/>
    </x:row>
    <x:row r="611" spans="1:26">
      <x:c r="A611" s="106"/>
      <x:c r="B611" s="106"/>
      <x:c r="C611" s="106"/>
      <x:c r="D611" s="107"/>
      <x:c r="E611" s="108"/>
      <x:c r="F611" s="106"/>
      <x:c r="G611" s="106"/>
      <x:c r="H611" s="109"/>
      <x:c r="I611" s="110"/>
      <x:c r="J611" s="100"/>
      <x:c r="K611" s="100"/>
      <x:c r="L611" s="100"/>
      <x:c r="M611" s="100"/>
      <x:c r="N611" s="100"/>
      <x:c r="O611" s="100"/>
      <x:c r="P611" s="100"/>
      <x:c r="Q611" s="100"/>
      <x:c r="R611" s="100"/>
      <x:c r="S611" s="100"/>
      <x:c r="T611" s="100"/>
      <x:c r="U611" s="100"/>
      <x:c r="V611" s="100"/>
      <x:c r="W611" s="100"/>
      <x:c r="X611" s="100"/>
      <x:c r="Y611" s="100"/>
      <x:c r="Z611" s="100"/>
    </x:row>
    <x:row r="612" spans="1:26">
      <x:c r="A612" s="111"/>
      <x:c r="B612" s="111"/>
      <x:c r="C612" s="111"/>
      <x:c r="D612" s="112"/>
      <x:c r="E612" s="113"/>
      <x:c r="F612" s="111"/>
      <x:c r="G612" s="111"/>
      <x:c r="H612" s="114"/>
      <x:c r="I612" s="115"/>
      <x:c r="J612" s="92"/>
      <x:c r="K612" s="92"/>
      <x:c r="L612" s="92"/>
      <x:c r="M612" s="92"/>
      <x:c r="N612" s="92"/>
      <x:c r="O612" s="92"/>
      <x:c r="P612" s="92"/>
      <x:c r="Q612" s="92"/>
      <x:c r="R612" s="92"/>
      <x:c r="S612" s="92"/>
      <x:c r="T612" s="92"/>
      <x:c r="U612" s="92"/>
      <x:c r="V612" s="92"/>
      <x:c r="W612" s="92"/>
      <x:c r="X612" s="92"/>
      <x:c r="Y612" s="92"/>
      <x:c r="Z612" s="92"/>
    </x:row>
    <x:row r="613" spans="1:26">
      <x:c r="A613" s="106"/>
      <x:c r="B613" s="106"/>
      <x:c r="C613" s="106"/>
      <x:c r="D613" s="107"/>
      <x:c r="E613" s="108"/>
      <x:c r="F613" s="106"/>
      <x:c r="G613" s="106"/>
      <x:c r="H613" s="109"/>
      <x:c r="I613" s="110"/>
      <x:c r="J613" s="100"/>
      <x:c r="K613" s="100"/>
      <x:c r="L613" s="100"/>
      <x:c r="M613" s="100"/>
      <x:c r="N613" s="100"/>
      <x:c r="O613" s="100"/>
      <x:c r="P613" s="100"/>
      <x:c r="Q613" s="100"/>
      <x:c r="R613" s="100"/>
      <x:c r="S613" s="100"/>
      <x:c r="T613" s="100"/>
      <x:c r="U613" s="100"/>
      <x:c r="V613" s="100"/>
      <x:c r="W613" s="100"/>
      <x:c r="X613" s="100"/>
      <x:c r="Y613" s="100"/>
      <x:c r="Z613" s="100"/>
    </x:row>
    <x:row r="614" spans="1:26">
      <x:c r="A614" s="111"/>
      <x:c r="B614" s="111"/>
      <x:c r="C614" s="111"/>
      <x:c r="D614" s="112"/>
      <x:c r="E614" s="113"/>
      <x:c r="F614" s="111"/>
      <x:c r="G614" s="111"/>
      <x:c r="H614" s="114"/>
      <x:c r="I614" s="115"/>
      <x:c r="J614" s="92"/>
      <x:c r="K614" s="92"/>
      <x:c r="L614" s="92"/>
      <x:c r="M614" s="92"/>
      <x:c r="N614" s="92"/>
      <x:c r="O614" s="92"/>
      <x:c r="P614" s="92"/>
      <x:c r="Q614" s="92"/>
      <x:c r="R614" s="92"/>
      <x:c r="S614" s="92"/>
      <x:c r="T614" s="92"/>
      <x:c r="U614" s="92"/>
      <x:c r="V614" s="92"/>
      <x:c r="W614" s="92"/>
      <x:c r="X614" s="92"/>
      <x:c r="Y614" s="92"/>
      <x:c r="Z614" s="92"/>
    </x:row>
    <x:row r="615" spans="1:26">
      <x:c r="A615" s="106"/>
      <x:c r="B615" s="106"/>
      <x:c r="C615" s="106"/>
      <x:c r="D615" s="107"/>
      <x:c r="E615" s="108"/>
      <x:c r="F615" s="106"/>
      <x:c r="G615" s="106"/>
      <x:c r="H615" s="109"/>
      <x:c r="I615" s="110"/>
      <x:c r="J615" s="100"/>
      <x:c r="K615" s="100"/>
      <x:c r="L615" s="100"/>
      <x:c r="M615" s="100"/>
      <x:c r="N615" s="100"/>
      <x:c r="O615" s="100"/>
      <x:c r="P615" s="100"/>
      <x:c r="Q615" s="100"/>
      <x:c r="R615" s="100"/>
      <x:c r="S615" s="100"/>
      <x:c r="T615" s="100"/>
      <x:c r="U615" s="100"/>
      <x:c r="V615" s="100"/>
      <x:c r="W615" s="100"/>
      <x:c r="X615" s="100"/>
      <x:c r="Y615" s="100"/>
      <x:c r="Z615" s="100"/>
    </x:row>
    <x:row r="616" spans="1:26">
      <x:c r="A616" s="111"/>
      <x:c r="B616" s="111"/>
      <x:c r="C616" s="111"/>
      <x:c r="D616" s="112"/>
      <x:c r="E616" s="113"/>
      <x:c r="F616" s="111"/>
      <x:c r="G616" s="111"/>
      <x:c r="H616" s="114"/>
      <x:c r="I616" s="115"/>
      <x:c r="J616" s="92"/>
      <x:c r="K616" s="92"/>
      <x:c r="L616" s="92"/>
      <x:c r="M616" s="92"/>
      <x:c r="N616" s="92"/>
      <x:c r="O616" s="92"/>
      <x:c r="P616" s="92"/>
      <x:c r="Q616" s="92"/>
      <x:c r="R616" s="92"/>
      <x:c r="S616" s="92"/>
      <x:c r="T616" s="92"/>
      <x:c r="U616" s="92"/>
      <x:c r="V616" s="92"/>
      <x:c r="W616" s="92"/>
      <x:c r="X616" s="92"/>
      <x:c r="Y616" s="92"/>
      <x:c r="Z616" s="92"/>
    </x:row>
    <x:row r="617" spans="1:26">
      <x:c r="A617" s="106"/>
      <x:c r="B617" s="106"/>
      <x:c r="C617" s="106"/>
      <x:c r="D617" s="107"/>
      <x:c r="E617" s="108"/>
      <x:c r="F617" s="106"/>
      <x:c r="G617" s="106"/>
      <x:c r="H617" s="109"/>
      <x:c r="I617" s="110"/>
      <x:c r="J617" s="100"/>
      <x:c r="K617" s="100"/>
      <x:c r="L617" s="100"/>
      <x:c r="M617" s="100"/>
      <x:c r="N617" s="100"/>
      <x:c r="O617" s="100"/>
      <x:c r="P617" s="100"/>
      <x:c r="Q617" s="100"/>
      <x:c r="R617" s="100"/>
      <x:c r="S617" s="100"/>
      <x:c r="T617" s="100"/>
      <x:c r="U617" s="100"/>
      <x:c r="V617" s="100"/>
      <x:c r="W617" s="100"/>
      <x:c r="X617" s="100"/>
      <x:c r="Y617" s="100"/>
      <x:c r="Z617" s="100"/>
    </x:row>
    <x:row r="618" spans="1:26">
      <x:c r="A618" s="111"/>
      <x:c r="B618" s="111"/>
      <x:c r="C618" s="111"/>
      <x:c r="D618" s="112"/>
      <x:c r="E618" s="113"/>
      <x:c r="F618" s="111"/>
      <x:c r="G618" s="111"/>
      <x:c r="H618" s="114"/>
      <x:c r="I618" s="115"/>
      <x:c r="J618" s="92"/>
      <x:c r="K618" s="92"/>
      <x:c r="L618" s="92"/>
      <x:c r="M618" s="92"/>
      <x:c r="N618" s="92"/>
      <x:c r="O618" s="92"/>
      <x:c r="P618" s="92"/>
      <x:c r="Q618" s="92"/>
      <x:c r="R618" s="92"/>
      <x:c r="S618" s="92"/>
      <x:c r="T618" s="92"/>
      <x:c r="U618" s="92"/>
      <x:c r="V618" s="92"/>
      <x:c r="W618" s="92"/>
      <x:c r="X618" s="92"/>
      <x:c r="Y618" s="92"/>
      <x:c r="Z618" s="92"/>
    </x:row>
    <x:row r="619" spans="1:26">
      <x:c r="A619" s="106"/>
      <x:c r="B619" s="106"/>
      <x:c r="C619" s="106"/>
      <x:c r="D619" s="107"/>
      <x:c r="E619" s="108"/>
      <x:c r="F619" s="106"/>
      <x:c r="G619" s="106"/>
      <x:c r="H619" s="109"/>
      <x:c r="I619" s="110"/>
      <x:c r="J619" s="100"/>
      <x:c r="K619" s="100"/>
      <x:c r="L619" s="100"/>
      <x:c r="M619" s="100"/>
      <x:c r="N619" s="100"/>
      <x:c r="O619" s="100"/>
      <x:c r="P619" s="100"/>
      <x:c r="Q619" s="100"/>
      <x:c r="R619" s="100"/>
      <x:c r="S619" s="100"/>
      <x:c r="T619" s="100"/>
      <x:c r="U619" s="100"/>
      <x:c r="V619" s="100"/>
      <x:c r="W619" s="100"/>
      <x:c r="X619" s="100"/>
      <x:c r="Y619" s="100"/>
      <x:c r="Z619" s="100"/>
    </x:row>
    <x:row r="620" spans="1:26">
      <x:c r="A620" s="111"/>
      <x:c r="B620" s="111"/>
      <x:c r="C620" s="111"/>
      <x:c r="D620" s="112"/>
      <x:c r="E620" s="113"/>
      <x:c r="F620" s="111"/>
      <x:c r="G620" s="111"/>
      <x:c r="H620" s="114"/>
      <x:c r="I620" s="115"/>
      <x:c r="J620" s="92"/>
      <x:c r="K620" s="92"/>
      <x:c r="L620" s="92"/>
      <x:c r="M620" s="92"/>
      <x:c r="N620" s="92"/>
      <x:c r="O620" s="92"/>
      <x:c r="P620" s="92"/>
      <x:c r="Q620" s="92"/>
      <x:c r="R620" s="92"/>
      <x:c r="S620" s="92"/>
      <x:c r="T620" s="92"/>
      <x:c r="U620" s="92"/>
      <x:c r="V620" s="92"/>
      <x:c r="W620" s="92"/>
      <x:c r="X620" s="92"/>
      <x:c r="Y620" s="92"/>
      <x:c r="Z620" s="92"/>
    </x:row>
    <x:row r="621" spans="1:26">
      <x:c r="A621" s="106"/>
      <x:c r="B621" s="106"/>
      <x:c r="C621" s="106"/>
      <x:c r="D621" s="107"/>
      <x:c r="E621" s="108"/>
      <x:c r="F621" s="106"/>
      <x:c r="G621" s="106"/>
      <x:c r="H621" s="109"/>
      <x:c r="I621" s="110"/>
      <x:c r="J621" s="100"/>
      <x:c r="K621" s="100"/>
      <x:c r="L621" s="100"/>
      <x:c r="M621" s="100"/>
      <x:c r="N621" s="100"/>
      <x:c r="O621" s="100"/>
      <x:c r="P621" s="100"/>
      <x:c r="Q621" s="100"/>
      <x:c r="R621" s="100"/>
      <x:c r="S621" s="100"/>
      <x:c r="T621" s="100"/>
      <x:c r="U621" s="100"/>
      <x:c r="V621" s="100"/>
      <x:c r="W621" s="100"/>
      <x:c r="X621" s="100"/>
      <x:c r="Y621" s="100"/>
      <x:c r="Z621" s="100"/>
    </x:row>
    <x:row r="622" spans="1:26">
      <x:c r="A622" s="111"/>
      <x:c r="B622" s="111"/>
      <x:c r="C622" s="111"/>
      <x:c r="D622" s="112"/>
      <x:c r="E622" s="113"/>
      <x:c r="F622" s="111"/>
      <x:c r="G622" s="111"/>
      <x:c r="H622" s="114"/>
      <x:c r="I622" s="115"/>
      <x:c r="J622" s="92"/>
      <x:c r="K622" s="92"/>
      <x:c r="L622" s="92"/>
      <x:c r="M622" s="92"/>
      <x:c r="N622" s="92"/>
      <x:c r="O622" s="92"/>
      <x:c r="P622" s="92"/>
      <x:c r="Q622" s="92"/>
      <x:c r="R622" s="92"/>
      <x:c r="S622" s="92"/>
      <x:c r="T622" s="92"/>
      <x:c r="U622" s="92"/>
      <x:c r="V622" s="92"/>
      <x:c r="W622" s="92"/>
      <x:c r="X622" s="92"/>
      <x:c r="Y622" s="92"/>
      <x:c r="Z622" s="92"/>
    </x:row>
    <x:row r="623" spans="1:26">
      <x:c r="A623" s="106"/>
      <x:c r="B623" s="106"/>
      <x:c r="C623" s="106"/>
      <x:c r="D623" s="107"/>
      <x:c r="E623" s="108"/>
      <x:c r="F623" s="106"/>
      <x:c r="G623" s="106"/>
      <x:c r="H623" s="109"/>
      <x:c r="I623" s="110"/>
      <x:c r="J623" s="100"/>
      <x:c r="K623" s="100"/>
      <x:c r="L623" s="100"/>
      <x:c r="M623" s="100"/>
      <x:c r="N623" s="100"/>
      <x:c r="O623" s="100"/>
      <x:c r="P623" s="100"/>
      <x:c r="Q623" s="100"/>
      <x:c r="R623" s="100"/>
      <x:c r="S623" s="100"/>
      <x:c r="T623" s="100"/>
      <x:c r="U623" s="100"/>
      <x:c r="V623" s="100"/>
      <x:c r="W623" s="100"/>
      <x:c r="X623" s="100"/>
      <x:c r="Y623" s="100"/>
      <x:c r="Z623" s="100"/>
    </x:row>
    <x:row r="624" spans="1:26">
      <x:c r="A624" s="111"/>
      <x:c r="B624" s="111"/>
      <x:c r="C624" s="111"/>
      <x:c r="D624" s="112"/>
      <x:c r="E624" s="113"/>
      <x:c r="F624" s="111"/>
      <x:c r="G624" s="111"/>
      <x:c r="H624" s="114"/>
      <x:c r="I624" s="115"/>
      <x:c r="J624" s="92"/>
      <x:c r="K624" s="92"/>
      <x:c r="L624" s="92"/>
      <x:c r="M624" s="92"/>
      <x:c r="N624" s="92"/>
      <x:c r="O624" s="92"/>
      <x:c r="P624" s="92"/>
      <x:c r="Q624" s="92"/>
      <x:c r="R624" s="92"/>
      <x:c r="S624" s="92"/>
      <x:c r="T624" s="92"/>
      <x:c r="U624" s="92"/>
      <x:c r="V624" s="92"/>
      <x:c r="W624" s="92"/>
      <x:c r="X624" s="92"/>
      <x:c r="Y624" s="92"/>
      <x:c r="Z624" s="92"/>
    </x:row>
    <x:row r="625" spans="1:26">
      <x:c r="A625" s="106"/>
      <x:c r="B625" s="106"/>
      <x:c r="C625" s="106"/>
      <x:c r="D625" s="107"/>
      <x:c r="E625" s="108"/>
      <x:c r="F625" s="106"/>
      <x:c r="G625" s="106"/>
      <x:c r="H625" s="109"/>
      <x:c r="I625" s="110"/>
      <x:c r="J625" s="100"/>
      <x:c r="K625" s="100"/>
      <x:c r="L625" s="100"/>
      <x:c r="M625" s="100"/>
      <x:c r="N625" s="100"/>
      <x:c r="O625" s="100"/>
      <x:c r="P625" s="100"/>
      <x:c r="Q625" s="100"/>
      <x:c r="R625" s="100"/>
      <x:c r="S625" s="100"/>
      <x:c r="T625" s="100"/>
      <x:c r="U625" s="100"/>
      <x:c r="V625" s="100"/>
      <x:c r="W625" s="100"/>
      <x:c r="X625" s="100"/>
      <x:c r="Y625" s="100"/>
      <x:c r="Z625" s="100"/>
    </x:row>
    <x:row r="626" spans="1:26">
      <x:c r="A626" s="111"/>
      <x:c r="B626" s="111"/>
      <x:c r="C626" s="111"/>
      <x:c r="D626" s="112"/>
      <x:c r="E626" s="113"/>
      <x:c r="F626" s="111"/>
      <x:c r="G626" s="111"/>
      <x:c r="H626" s="114"/>
      <x:c r="I626" s="115"/>
      <x:c r="J626" s="92"/>
      <x:c r="K626" s="92"/>
      <x:c r="L626" s="92"/>
      <x:c r="M626" s="92"/>
      <x:c r="N626" s="92"/>
      <x:c r="O626" s="92"/>
      <x:c r="P626" s="92"/>
      <x:c r="Q626" s="92"/>
      <x:c r="R626" s="92"/>
      <x:c r="S626" s="92"/>
      <x:c r="T626" s="92"/>
      <x:c r="U626" s="92"/>
      <x:c r="V626" s="92"/>
      <x:c r="W626" s="92"/>
      <x:c r="X626" s="92"/>
      <x:c r="Y626" s="92"/>
      <x:c r="Z626" s="92"/>
    </x:row>
    <x:row r="627" spans="1:26">
      <x:c r="A627" s="106"/>
      <x:c r="B627" s="106"/>
      <x:c r="C627" s="106"/>
      <x:c r="D627" s="107"/>
      <x:c r="E627" s="108"/>
      <x:c r="F627" s="106"/>
      <x:c r="G627" s="106"/>
      <x:c r="H627" s="109"/>
      <x:c r="I627" s="110"/>
      <x:c r="J627" s="100"/>
      <x:c r="K627" s="100"/>
      <x:c r="L627" s="100"/>
      <x:c r="M627" s="100"/>
      <x:c r="N627" s="100"/>
      <x:c r="O627" s="100"/>
      <x:c r="P627" s="100"/>
      <x:c r="Q627" s="100"/>
      <x:c r="R627" s="100"/>
      <x:c r="S627" s="100"/>
      <x:c r="T627" s="100"/>
      <x:c r="U627" s="100"/>
      <x:c r="V627" s="100"/>
      <x:c r="W627" s="100"/>
      <x:c r="X627" s="100"/>
      <x:c r="Y627" s="100"/>
      <x:c r="Z627" s="100"/>
    </x:row>
    <x:row r="628" spans="1:26">
      <x:c r="A628" s="111"/>
      <x:c r="B628" s="111"/>
      <x:c r="C628" s="111"/>
      <x:c r="D628" s="112"/>
      <x:c r="E628" s="113"/>
      <x:c r="F628" s="111"/>
      <x:c r="G628" s="111"/>
      <x:c r="H628" s="114"/>
      <x:c r="I628" s="115"/>
      <x:c r="J628" s="92"/>
      <x:c r="K628" s="92"/>
      <x:c r="L628" s="92"/>
      <x:c r="M628" s="92"/>
      <x:c r="N628" s="92"/>
      <x:c r="O628" s="92"/>
      <x:c r="P628" s="92"/>
      <x:c r="Q628" s="92"/>
      <x:c r="R628" s="92"/>
      <x:c r="S628" s="92"/>
      <x:c r="T628" s="92"/>
      <x:c r="U628" s="92"/>
      <x:c r="V628" s="92"/>
      <x:c r="W628" s="92"/>
      <x:c r="X628" s="92"/>
      <x:c r="Y628" s="92"/>
      <x:c r="Z628" s="92"/>
    </x:row>
    <x:row r="629" spans="1:26">
      <x:c r="A629" s="106"/>
      <x:c r="B629" s="106"/>
      <x:c r="C629" s="106"/>
      <x:c r="D629" s="107"/>
      <x:c r="E629" s="108"/>
      <x:c r="F629" s="106"/>
      <x:c r="G629" s="106"/>
      <x:c r="H629" s="109"/>
      <x:c r="I629" s="110"/>
      <x:c r="J629" s="100"/>
      <x:c r="K629" s="100"/>
      <x:c r="L629" s="100"/>
      <x:c r="M629" s="100"/>
      <x:c r="N629" s="100"/>
      <x:c r="O629" s="100"/>
      <x:c r="P629" s="100"/>
      <x:c r="Q629" s="100"/>
      <x:c r="R629" s="100"/>
      <x:c r="S629" s="100"/>
      <x:c r="T629" s="100"/>
      <x:c r="U629" s="100"/>
      <x:c r="V629" s="100"/>
      <x:c r="W629" s="100"/>
      <x:c r="X629" s="100"/>
      <x:c r="Y629" s="100"/>
      <x:c r="Z629" s="100"/>
    </x:row>
    <x:row r="630" spans="1:26">
      <x:c r="A630" s="111"/>
      <x:c r="B630" s="111"/>
      <x:c r="C630" s="111"/>
      <x:c r="D630" s="112"/>
      <x:c r="E630" s="113"/>
      <x:c r="F630" s="111"/>
      <x:c r="G630" s="111"/>
      <x:c r="H630" s="114"/>
      <x:c r="I630" s="115"/>
      <x:c r="J630" s="92"/>
      <x:c r="K630" s="92"/>
      <x:c r="L630" s="92"/>
      <x:c r="M630" s="92"/>
      <x:c r="N630" s="92"/>
      <x:c r="O630" s="92"/>
      <x:c r="P630" s="92"/>
      <x:c r="Q630" s="92"/>
      <x:c r="R630" s="92"/>
      <x:c r="S630" s="92"/>
      <x:c r="T630" s="92"/>
      <x:c r="U630" s="92"/>
      <x:c r="V630" s="92"/>
      <x:c r="W630" s="92"/>
      <x:c r="X630" s="92"/>
      <x:c r="Y630" s="92"/>
      <x:c r="Z630" s="92"/>
    </x:row>
    <x:row r="631" spans="1:26">
      <x:c r="A631" s="106"/>
      <x:c r="B631" s="106"/>
      <x:c r="C631" s="106"/>
      <x:c r="D631" s="107"/>
      <x:c r="E631" s="108"/>
      <x:c r="F631" s="106"/>
      <x:c r="G631" s="106"/>
      <x:c r="H631" s="109"/>
      <x:c r="I631" s="110"/>
      <x:c r="J631" s="100"/>
      <x:c r="K631" s="100"/>
      <x:c r="L631" s="100"/>
      <x:c r="M631" s="100"/>
      <x:c r="N631" s="100"/>
      <x:c r="O631" s="100"/>
      <x:c r="P631" s="100"/>
      <x:c r="Q631" s="100"/>
      <x:c r="R631" s="100"/>
      <x:c r="S631" s="100"/>
      <x:c r="T631" s="100"/>
      <x:c r="U631" s="100"/>
      <x:c r="V631" s="100"/>
      <x:c r="W631" s="100"/>
      <x:c r="X631" s="100"/>
      <x:c r="Y631" s="100"/>
      <x:c r="Z631" s="100"/>
    </x:row>
    <x:row r="632" spans="1:26">
      <x:c r="A632" s="111"/>
      <x:c r="B632" s="111"/>
      <x:c r="C632" s="111"/>
      <x:c r="D632" s="112"/>
      <x:c r="E632" s="113"/>
      <x:c r="F632" s="111"/>
      <x:c r="G632" s="111"/>
      <x:c r="H632" s="114"/>
      <x:c r="I632" s="115"/>
      <x:c r="J632" s="92"/>
      <x:c r="K632" s="92"/>
      <x:c r="L632" s="92"/>
      <x:c r="M632" s="92"/>
      <x:c r="N632" s="92"/>
      <x:c r="O632" s="92"/>
      <x:c r="P632" s="92"/>
      <x:c r="Q632" s="92"/>
      <x:c r="R632" s="92"/>
      <x:c r="S632" s="92"/>
      <x:c r="T632" s="92"/>
      <x:c r="U632" s="92"/>
      <x:c r="V632" s="92"/>
      <x:c r="W632" s="92"/>
      <x:c r="X632" s="92"/>
      <x:c r="Y632" s="92"/>
      <x:c r="Z632" s="92"/>
    </x:row>
    <x:row r="633" spans="1:26">
      <x:c r="A633" s="106"/>
      <x:c r="B633" s="106"/>
      <x:c r="C633" s="106"/>
      <x:c r="D633" s="107"/>
      <x:c r="E633" s="108"/>
      <x:c r="F633" s="106"/>
      <x:c r="G633" s="106"/>
      <x:c r="H633" s="109"/>
      <x:c r="I633" s="110"/>
      <x:c r="J633" s="100"/>
      <x:c r="K633" s="100"/>
      <x:c r="L633" s="100"/>
      <x:c r="M633" s="100"/>
      <x:c r="N633" s="100"/>
      <x:c r="O633" s="100"/>
      <x:c r="P633" s="100"/>
      <x:c r="Q633" s="100"/>
      <x:c r="R633" s="100"/>
      <x:c r="S633" s="100"/>
      <x:c r="T633" s="100"/>
      <x:c r="U633" s="100"/>
      <x:c r="V633" s="100"/>
      <x:c r="W633" s="100"/>
      <x:c r="X633" s="100"/>
      <x:c r="Y633" s="100"/>
      <x:c r="Z633" s="100"/>
    </x:row>
    <x:row r="634" spans="1:26">
      <x:c r="A634" s="111"/>
      <x:c r="B634" s="111"/>
      <x:c r="C634" s="111"/>
      <x:c r="D634" s="112"/>
      <x:c r="E634" s="113"/>
      <x:c r="F634" s="111"/>
      <x:c r="G634" s="111"/>
      <x:c r="H634" s="114"/>
      <x:c r="I634" s="115"/>
      <x:c r="J634" s="92"/>
      <x:c r="K634" s="92"/>
      <x:c r="L634" s="92"/>
      <x:c r="M634" s="92"/>
      <x:c r="N634" s="92"/>
      <x:c r="O634" s="92"/>
      <x:c r="P634" s="92"/>
      <x:c r="Q634" s="92"/>
      <x:c r="R634" s="92"/>
      <x:c r="S634" s="92"/>
      <x:c r="T634" s="92"/>
      <x:c r="U634" s="92"/>
      <x:c r="V634" s="92"/>
      <x:c r="W634" s="92"/>
      <x:c r="X634" s="92"/>
      <x:c r="Y634" s="92"/>
      <x:c r="Z634" s="92"/>
    </x:row>
    <x:row r="635" spans="1:26">
      <x:c r="A635" s="106"/>
      <x:c r="B635" s="106"/>
      <x:c r="C635" s="106"/>
      <x:c r="D635" s="107"/>
      <x:c r="E635" s="108"/>
      <x:c r="F635" s="106"/>
      <x:c r="G635" s="106"/>
      <x:c r="H635" s="109"/>
      <x:c r="I635" s="110"/>
      <x:c r="J635" s="100"/>
      <x:c r="K635" s="100"/>
      <x:c r="L635" s="100"/>
      <x:c r="M635" s="100"/>
      <x:c r="N635" s="100"/>
      <x:c r="O635" s="100"/>
      <x:c r="P635" s="100"/>
      <x:c r="Q635" s="100"/>
      <x:c r="R635" s="100"/>
      <x:c r="S635" s="100"/>
      <x:c r="T635" s="100"/>
      <x:c r="U635" s="100"/>
      <x:c r="V635" s="100"/>
      <x:c r="W635" s="100"/>
      <x:c r="X635" s="100"/>
      <x:c r="Y635" s="100"/>
      <x:c r="Z635" s="100"/>
    </x:row>
    <x:row r="636" spans="1:26">
      <x:c r="A636" s="111"/>
      <x:c r="B636" s="111"/>
      <x:c r="C636" s="111"/>
      <x:c r="D636" s="112"/>
      <x:c r="E636" s="113"/>
      <x:c r="F636" s="111"/>
      <x:c r="G636" s="111"/>
      <x:c r="H636" s="114"/>
      <x:c r="I636" s="115"/>
      <x:c r="J636" s="92"/>
      <x:c r="K636" s="92"/>
      <x:c r="L636" s="92"/>
      <x:c r="M636" s="92"/>
      <x:c r="N636" s="92"/>
      <x:c r="O636" s="92"/>
      <x:c r="P636" s="92"/>
      <x:c r="Q636" s="92"/>
      <x:c r="R636" s="92"/>
      <x:c r="S636" s="92"/>
      <x:c r="T636" s="92"/>
      <x:c r="U636" s="92"/>
      <x:c r="V636" s="92"/>
      <x:c r="W636" s="92"/>
      <x:c r="X636" s="92"/>
      <x:c r="Y636" s="92"/>
      <x:c r="Z636" s="92"/>
    </x:row>
    <x:row r="637" spans="1:26">
      <x:c r="A637" s="106"/>
      <x:c r="B637" s="106"/>
      <x:c r="C637" s="106"/>
      <x:c r="D637" s="107"/>
      <x:c r="E637" s="108"/>
      <x:c r="F637" s="106"/>
      <x:c r="G637" s="106"/>
      <x:c r="H637" s="109"/>
      <x:c r="I637" s="110"/>
      <x:c r="J637" s="100"/>
      <x:c r="K637" s="100"/>
      <x:c r="L637" s="100"/>
      <x:c r="M637" s="100"/>
      <x:c r="N637" s="100"/>
      <x:c r="O637" s="100"/>
      <x:c r="P637" s="100"/>
      <x:c r="Q637" s="100"/>
      <x:c r="R637" s="100"/>
      <x:c r="S637" s="100"/>
      <x:c r="T637" s="100"/>
      <x:c r="U637" s="100"/>
      <x:c r="V637" s="100"/>
      <x:c r="W637" s="100"/>
      <x:c r="X637" s="100"/>
      <x:c r="Y637" s="100"/>
      <x:c r="Z637" s="100"/>
    </x:row>
    <x:row r="638" spans="1:26">
      <x:c r="A638" s="111"/>
      <x:c r="B638" s="111"/>
      <x:c r="C638" s="111"/>
      <x:c r="D638" s="112"/>
      <x:c r="E638" s="113"/>
      <x:c r="F638" s="111"/>
      <x:c r="G638" s="111"/>
      <x:c r="H638" s="114"/>
      <x:c r="I638" s="115"/>
      <x:c r="J638" s="92"/>
      <x:c r="K638" s="92"/>
      <x:c r="L638" s="92"/>
      <x:c r="M638" s="92"/>
      <x:c r="N638" s="92"/>
      <x:c r="O638" s="92"/>
      <x:c r="P638" s="92"/>
      <x:c r="Q638" s="92"/>
      <x:c r="R638" s="92"/>
      <x:c r="S638" s="92"/>
      <x:c r="T638" s="92"/>
      <x:c r="U638" s="92"/>
      <x:c r="V638" s="92"/>
      <x:c r="W638" s="92"/>
      <x:c r="X638" s="92"/>
      <x:c r="Y638" s="92"/>
      <x:c r="Z638" s="92"/>
    </x:row>
    <x:row r="639" spans="1:26">
      <x:c r="A639" s="106"/>
      <x:c r="B639" s="106"/>
      <x:c r="C639" s="106"/>
      <x:c r="D639" s="107"/>
      <x:c r="E639" s="108"/>
      <x:c r="F639" s="106"/>
      <x:c r="G639" s="106"/>
      <x:c r="H639" s="109"/>
      <x:c r="I639" s="110"/>
      <x:c r="J639" s="100"/>
      <x:c r="K639" s="100"/>
      <x:c r="L639" s="100"/>
      <x:c r="M639" s="100"/>
      <x:c r="N639" s="100"/>
      <x:c r="O639" s="100"/>
      <x:c r="P639" s="100"/>
      <x:c r="Q639" s="100"/>
      <x:c r="R639" s="100"/>
      <x:c r="S639" s="100"/>
      <x:c r="T639" s="100"/>
      <x:c r="U639" s="100"/>
      <x:c r="V639" s="100"/>
      <x:c r="W639" s="100"/>
      <x:c r="X639" s="100"/>
      <x:c r="Y639" s="100"/>
      <x:c r="Z639" s="100"/>
    </x:row>
    <x:row r="640" spans="1:26">
      <x:c r="A640" s="111"/>
      <x:c r="B640" s="111"/>
      <x:c r="C640" s="111"/>
      <x:c r="D640" s="112"/>
      <x:c r="E640" s="113"/>
      <x:c r="F640" s="111"/>
      <x:c r="G640" s="111"/>
      <x:c r="H640" s="114"/>
      <x:c r="I640" s="115"/>
      <x:c r="J640" s="92"/>
      <x:c r="K640" s="92"/>
      <x:c r="L640" s="92"/>
      <x:c r="M640" s="92"/>
      <x:c r="N640" s="92"/>
      <x:c r="O640" s="92"/>
      <x:c r="P640" s="92"/>
      <x:c r="Q640" s="92"/>
      <x:c r="R640" s="92"/>
      <x:c r="S640" s="92"/>
      <x:c r="T640" s="92"/>
      <x:c r="U640" s="92"/>
      <x:c r="V640" s="92"/>
      <x:c r="W640" s="92"/>
      <x:c r="X640" s="92"/>
      <x:c r="Y640" s="92"/>
      <x:c r="Z640" s="92"/>
    </x:row>
    <x:row r="641" spans="1:26">
      <x:c r="A641" s="106"/>
      <x:c r="B641" s="106"/>
      <x:c r="C641" s="106"/>
      <x:c r="D641" s="107"/>
      <x:c r="E641" s="108"/>
      <x:c r="F641" s="106"/>
      <x:c r="G641" s="106"/>
      <x:c r="H641" s="109"/>
      <x:c r="I641" s="110"/>
      <x:c r="J641" s="100"/>
      <x:c r="K641" s="100"/>
      <x:c r="L641" s="100"/>
      <x:c r="M641" s="100"/>
      <x:c r="N641" s="100"/>
      <x:c r="O641" s="100"/>
      <x:c r="P641" s="100"/>
      <x:c r="Q641" s="100"/>
      <x:c r="R641" s="100"/>
      <x:c r="S641" s="100"/>
      <x:c r="T641" s="100"/>
      <x:c r="U641" s="100"/>
      <x:c r="V641" s="100"/>
      <x:c r="W641" s="100"/>
      <x:c r="X641" s="100"/>
      <x:c r="Y641" s="100"/>
      <x:c r="Z641" s="100"/>
    </x:row>
    <x:row r="642" spans="1:26">
      <x:c r="A642" s="111"/>
      <x:c r="B642" s="111"/>
      <x:c r="C642" s="111"/>
      <x:c r="D642" s="112"/>
      <x:c r="E642" s="113"/>
      <x:c r="F642" s="111"/>
      <x:c r="G642" s="111"/>
      <x:c r="H642" s="114"/>
      <x:c r="I642" s="115"/>
      <x:c r="J642" s="92"/>
      <x:c r="K642" s="92"/>
      <x:c r="L642" s="92"/>
      <x:c r="M642" s="92"/>
      <x:c r="N642" s="92"/>
      <x:c r="O642" s="92"/>
      <x:c r="P642" s="92"/>
      <x:c r="Q642" s="92"/>
      <x:c r="R642" s="92"/>
      <x:c r="S642" s="92"/>
      <x:c r="T642" s="92"/>
      <x:c r="U642" s="92"/>
      <x:c r="V642" s="92"/>
      <x:c r="W642" s="92"/>
      <x:c r="X642" s="92"/>
      <x:c r="Y642" s="92"/>
      <x:c r="Z642" s="92"/>
    </x:row>
    <x:row r="643" spans="1:26">
      <x:c r="A643" s="106"/>
      <x:c r="B643" s="106"/>
      <x:c r="C643" s="106"/>
      <x:c r="D643" s="107"/>
      <x:c r="E643" s="108"/>
      <x:c r="F643" s="106"/>
      <x:c r="G643" s="106"/>
      <x:c r="H643" s="109"/>
      <x:c r="I643" s="110"/>
      <x:c r="J643" s="100"/>
      <x:c r="K643" s="100"/>
      <x:c r="L643" s="100"/>
      <x:c r="M643" s="100"/>
      <x:c r="N643" s="100"/>
      <x:c r="O643" s="100"/>
      <x:c r="P643" s="100"/>
      <x:c r="Q643" s="100"/>
      <x:c r="R643" s="100"/>
      <x:c r="S643" s="100"/>
      <x:c r="T643" s="100"/>
      <x:c r="U643" s="100"/>
      <x:c r="V643" s="100"/>
      <x:c r="W643" s="100"/>
      <x:c r="X643" s="100"/>
      <x:c r="Y643" s="100"/>
      <x:c r="Z643" s="100"/>
    </x:row>
    <x:row r="644" spans="1:26">
      <x:c r="A644" s="111"/>
      <x:c r="B644" s="111"/>
      <x:c r="C644" s="111"/>
      <x:c r="D644" s="112"/>
      <x:c r="E644" s="113"/>
      <x:c r="F644" s="111"/>
      <x:c r="G644" s="111"/>
      <x:c r="H644" s="114"/>
      <x:c r="I644" s="115"/>
      <x:c r="J644" s="92"/>
      <x:c r="K644" s="92"/>
      <x:c r="L644" s="92"/>
      <x:c r="M644" s="92"/>
      <x:c r="N644" s="92"/>
      <x:c r="O644" s="92"/>
      <x:c r="P644" s="92"/>
      <x:c r="Q644" s="92"/>
      <x:c r="R644" s="92"/>
      <x:c r="S644" s="92"/>
      <x:c r="T644" s="92"/>
      <x:c r="U644" s="92"/>
      <x:c r="V644" s="92"/>
      <x:c r="W644" s="92"/>
      <x:c r="X644" s="92"/>
      <x:c r="Y644" s="92"/>
      <x:c r="Z644" s="92"/>
    </x:row>
    <x:row r="645" spans="1:26">
      <x:c r="A645" s="106"/>
      <x:c r="B645" s="106"/>
      <x:c r="C645" s="106"/>
      <x:c r="D645" s="107"/>
      <x:c r="E645" s="108"/>
      <x:c r="F645" s="106"/>
      <x:c r="G645" s="106"/>
      <x:c r="H645" s="109"/>
      <x:c r="I645" s="110"/>
      <x:c r="J645" s="100"/>
      <x:c r="K645" s="100"/>
      <x:c r="L645" s="100"/>
      <x:c r="M645" s="100"/>
      <x:c r="N645" s="100"/>
      <x:c r="O645" s="100"/>
      <x:c r="P645" s="100"/>
      <x:c r="Q645" s="100"/>
      <x:c r="R645" s="100"/>
      <x:c r="S645" s="100"/>
      <x:c r="T645" s="100"/>
      <x:c r="U645" s="100"/>
      <x:c r="V645" s="100"/>
      <x:c r="W645" s="100"/>
      <x:c r="X645" s="100"/>
      <x:c r="Y645" s="100"/>
      <x:c r="Z645" s="100"/>
    </x:row>
    <x:row r="646" spans="1:26">
      <x:c r="A646" s="111"/>
      <x:c r="B646" s="111"/>
      <x:c r="C646" s="111"/>
      <x:c r="D646" s="112"/>
      <x:c r="E646" s="113"/>
      <x:c r="F646" s="111"/>
      <x:c r="G646" s="111"/>
      <x:c r="H646" s="114"/>
      <x:c r="I646" s="115"/>
      <x:c r="J646" s="92"/>
      <x:c r="K646" s="92"/>
      <x:c r="L646" s="92"/>
      <x:c r="M646" s="92"/>
      <x:c r="N646" s="92"/>
      <x:c r="O646" s="92"/>
      <x:c r="P646" s="92"/>
      <x:c r="Q646" s="92"/>
      <x:c r="R646" s="92"/>
      <x:c r="S646" s="92"/>
      <x:c r="T646" s="92"/>
      <x:c r="U646" s="92"/>
      <x:c r="V646" s="92"/>
      <x:c r="W646" s="92"/>
      <x:c r="X646" s="92"/>
      <x:c r="Y646" s="92"/>
      <x:c r="Z646" s="92"/>
    </x:row>
    <x:row r="647" spans="1:26">
      <x:c r="A647" s="106"/>
      <x:c r="B647" s="106"/>
      <x:c r="C647" s="106"/>
      <x:c r="D647" s="107"/>
      <x:c r="E647" s="108"/>
      <x:c r="F647" s="106"/>
      <x:c r="G647" s="106"/>
      <x:c r="H647" s="109"/>
      <x:c r="I647" s="110"/>
      <x:c r="J647" s="100"/>
      <x:c r="K647" s="100"/>
      <x:c r="L647" s="100"/>
      <x:c r="M647" s="100"/>
      <x:c r="N647" s="100"/>
      <x:c r="O647" s="100"/>
      <x:c r="P647" s="100"/>
      <x:c r="Q647" s="100"/>
      <x:c r="R647" s="100"/>
      <x:c r="S647" s="100"/>
      <x:c r="T647" s="100"/>
      <x:c r="U647" s="100"/>
      <x:c r="V647" s="100"/>
      <x:c r="W647" s="100"/>
      <x:c r="X647" s="100"/>
      <x:c r="Y647" s="100"/>
      <x:c r="Z647" s="100"/>
    </x:row>
    <x:row r="648" spans="1:26">
      <x:c r="A648" s="111"/>
      <x:c r="B648" s="111"/>
      <x:c r="C648" s="111"/>
      <x:c r="D648" s="112"/>
      <x:c r="E648" s="113"/>
      <x:c r="F648" s="111"/>
      <x:c r="G648" s="111"/>
      <x:c r="H648" s="114"/>
      <x:c r="I648" s="115"/>
      <x:c r="J648" s="92"/>
      <x:c r="K648" s="92"/>
      <x:c r="L648" s="92"/>
      <x:c r="M648" s="92"/>
      <x:c r="N648" s="92"/>
      <x:c r="O648" s="92"/>
      <x:c r="P648" s="92"/>
      <x:c r="Q648" s="92"/>
      <x:c r="R648" s="92"/>
      <x:c r="S648" s="92"/>
      <x:c r="T648" s="92"/>
      <x:c r="U648" s="92"/>
      <x:c r="V648" s="92"/>
      <x:c r="W648" s="92"/>
      <x:c r="X648" s="92"/>
      <x:c r="Y648" s="92"/>
      <x:c r="Z648" s="92"/>
    </x:row>
    <x:row r="649" spans="1:26">
      <x:c r="A649" s="106"/>
      <x:c r="B649" s="106"/>
      <x:c r="C649" s="106"/>
      <x:c r="D649" s="107"/>
      <x:c r="E649" s="108"/>
      <x:c r="F649" s="106"/>
      <x:c r="G649" s="106"/>
      <x:c r="H649" s="109"/>
      <x:c r="I649" s="110"/>
      <x:c r="J649" s="100"/>
      <x:c r="K649" s="100"/>
      <x:c r="L649" s="100"/>
      <x:c r="M649" s="100"/>
      <x:c r="N649" s="100"/>
      <x:c r="O649" s="100"/>
      <x:c r="P649" s="100"/>
      <x:c r="Q649" s="100"/>
      <x:c r="R649" s="100"/>
      <x:c r="S649" s="100"/>
      <x:c r="T649" s="100"/>
      <x:c r="U649" s="100"/>
      <x:c r="V649" s="100"/>
      <x:c r="W649" s="100"/>
      <x:c r="X649" s="100"/>
      <x:c r="Y649" s="100"/>
      <x:c r="Z649" s="100"/>
    </x:row>
    <x:row r="650" spans="1:26">
      <x:c r="A650" s="111"/>
      <x:c r="B650" s="111"/>
      <x:c r="C650" s="111"/>
      <x:c r="D650" s="112"/>
      <x:c r="E650" s="113"/>
      <x:c r="F650" s="111"/>
      <x:c r="G650" s="111"/>
      <x:c r="H650" s="114"/>
      <x:c r="I650" s="115"/>
      <x:c r="J650" s="92"/>
      <x:c r="K650" s="92"/>
      <x:c r="L650" s="92"/>
      <x:c r="M650" s="92"/>
      <x:c r="N650" s="92"/>
      <x:c r="O650" s="92"/>
      <x:c r="P650" s="92"/>
      <x:c r="Q650" s="92"/>
      <x:c r="R650" s="92"/>
      <x:c r="S650" s="92"/>
      <x:c r="T650" s="92"/>
      <x:c r="U650" s="92"/>
      <x:c r="V650" s="92"/>
      <x:c r="W650" s="92"/>
      <x:c r="X650" s="92"/>
      <x:c r="Y650" s="92"/>
      <x:c r="Z650" s="92"/>
    </x:row>
    <x:row r="651" spans="1:26">
      <x:c r="A651" s="106"/>
      <x:c r="B651" s="106"/>
      <x:c r="C651" s="106"/>
      <x:c r="D651" s="107"/>
      <x:c r="E651" s="108"/>
      <x:c r="F651" s="106"/>
      <x:c r="G651" s="106"/>
      <x:c r="H651" s="109"/>
      <x:c r="I651" s="110"/>
      <x:c r="J651" s="100"/>
      <x:c r="K651" s="100"/>
      <x:c r="L651" s="100"/>
      <x:c r="M651" s="100"/>
      <x:c r="N651" s="100"/>
      <x:c r="O651" s="100"/>
      <x:c r="P651" s="100"/>
      <x:c r="Q651" s="100"/>
      <x:c r="R651" s="100"/>
      <x:c r="S651" s="100"/>
      <x:c r="T651" s="100"/>
      <x:c r="U651" s="100"/>
      <x:c r="V651" s="100"/>
      <x:c r="W651" s="100"/>
      <x:c r="X651" s="100"/>
      <x:c r="Y651" s="100"/>
      <x:c r="Z651" s="100"/>
    </x:row>
    <x:row r="652" spans="1:26">
      <x:c r="A652" s="111"/>
      <x:c r="B652" s="111"/>
      <x:c r="C652" s="111"/>
      <x:c r="D652" s="112"/>
      <x:c r="E652" s="113"/>
      <x:c r="F652" s="111"/>
      <x:c r="G652" s="111"/>
      <x:c r="H652" s="114"/>
      <x:c r="I652" s="115"/>
      <x:c r="J652" s="92"/>
      <x:c r="K652" s="92"/>
      <x:c r="L652" s="92"/>
      <x:c r="M652" s="92"/>
      <x:c r="N652" s="92"/>
      <x:c r="O652" s="92"/>
      <x:c r="P652" s="92"/>
      <x:c r="Q652" s="92"/>
      <x:c r="R652" s="92"/>
      <x:c r="S652" s="92"/>
      <x:c r="T652" s="92"/>
      <x:c r="U652" s="92"/>
      <x:c r="V652" s="92"/>
      <x:c r="W652" s="92"/>
      <x:c r="X652" s="92"/>
      <x:c r="Y652" s="92"/>
      <x:c r="Z652" s="92"/>
    </x:row>
    <x:row r="653" spans="1:26">
      <x:c r="A653" s="106"/>
      <x:c r="B653" s="106"/>
      <x:c r="C653" s="106"/>
      <x:c r="D653" s="107"/>
      <x:c r="E653" s="108"/>
      <x:c r="F653" s="106"/>
      <x:c r="G653" s="106"/>
      <x:c r="H653" s="109"/>
      <x:c r="I653" s="110"/>
      <x:c r="J653" s="100"/>
      <x:c r="K653" s="100"/>
      <x:c r="L653" s="100"/>
      <x:c r="M653" s="100"/>
      <x:c r="N653" s="100"/>
      <x:c r="O653" s="100"/>
      <x:c r="P653" s="100"/>
      <x:c r="Q653" s="100"/>
      <x:c r="R653" s="100"/>
      <x:c r="S653" s="100"/>
      <x:c r="T653" s="100"/>
      <x:c r="U653" s="100"/>
      <x:c r="V653" s="100"/>
      <x:c r="W653" s="100"/>
      <x:c r="X653" s="100"/>
      <x:c r="Y653" s="100"/>
      <x:c r="Z653" s="100"/>
    </x:row>
    <x:row r="654" spans="1:26">
      <x:c r="A654" s="111"/>
      <x:c r="B654" s="111"/>
      <x:c r="C654" s="111"/>
      <x:c r="D654" s="112"/>
      <x:c r="E654" s="113"/>
      <x:c r="F654" s="111"/>
      <x:c r="G654" s="111"/>
      <x:c r="H654" s="114"/>
      <x:c r="I654" s="115"/>
      <x:c r="J654" s="92"/>
      <x:c r="K654" s="92"/>
      <x:c r="L654" s="92"/>
      <x:c r="M654" s="92"/>
      <x:c r="N654" s="92"/>
      <x:c r="O654" s="92"/>
      <x:c r="P654" s="92"/>
      <x:c r="Q654" s="92"/>
      <x:c r="R654" s="92"/>
      <x:c r="S654" s="92"/>
      <x:c r="T654" s="92"/>
      <x:c r="U654" s="92"/>
      <x:c r="V654" s="92"/>
      <x:c r="W654" s="92"/>
      <x:c r="X654" s="92"/>
      <x:c r="Y654" s="92"/>
      <x:c r="Z654" s="92"/>
    </x:row>
    <x:row r="655" spans="1:26">
      <x:c r="A655" s="106"/>
      <x:c r="B655" s="106"/>
      <x:c r="C655" s="106"/>
      <x:c r="D655" s="107"/>
      <x:c r="E655" s="108"/>
      <x:c r="F655" s="106"/>
      <x:c r="G655" s="106"/>
      <x:c r="H655" s="109"/>
      <x:c r="I655" s="110"/>
      <x:c r="J655" s="100"/>
      <x:c r="K655" s="100"/>
      <x:c r="L655" s="100"/>
      <x:c r="M655" s="100"/>
      <x:c r="N655" s="100"/>
      <x:c r="O655" s="100"/>
      <x:c r="P655" s="100"/>
      <x:c r="Q655" s="100"/>
      <x:c r="R655" s="100"/>
      <x:c r="S655" s="100"/>
      <x:c r="T655" s="100"/>
      <x:c r="U655" s="100"/>
      <x:c r="V655" s="100"/>
      <x:c r="W655" s="100"/>
      <x:c r="X655" s="100"/>
      <x:c r="Y655" s="100"/>
      <x:c r="Z655" s="100"/>
    </x:row>
    <x:row r="656" spans="1:26">
      <x:c r="A656" s="111"/>
      <x:c r="B656" s="111"/>
      <x:c r="C656" s="111"/>
      <x:c r="D656" s="112"/>
      <x:c r="E656" s="113"/>
      <x:c r="F656" s="111"/>
      <x:c r="G656" s="111"/>
      <x:c r="H656" s="114"/>
      <x:c r="I656" s="115"/>
      <x:c r="J656" s="92"/>
      <x:c r="K656" s="92"/>
      <x:c r="L656" s="92"/>
      <x:c r="M656" s="92"/>
      <x:c r="N656" s="92"/>
      <x:c r="O656" s="92"/>
      <x:c r="P656" s="92"/>
      <x:c r="Q656" s="92"/>
      <x:c r="R656" s="92"/>
      <x:c r="S656" s="92"/>
      <x:c r="T656" s="92"/>
      <x:c r="U656" s="92"/>
      <x:c r="V656" s="92"/>
      <x:c r="W656" s="92"/>
      <x:c r="X656" s="92"/>
      <x:c r="Y656" s="92"/>
      <x:c r="Z656" s="92"/>
    </x:row>
    <x:row r="657" spans="1:26">
      <x:c r="A657" s="106"/>
      <x:c r="B657" s="106"/>
      <x:c r="C657" s="106"/>
      <x:c r="D657" s="107"/>
      <x:c r="E657" s="108"/>
      <x:c r="F657" s="106"/>
      <x:c r="G657" s="106"/>
      <x:c r="H657" s="109"/>
      <x:c r="I657" s="110"/>
      <x:c r="J657" s="100"/>
      <x:c r="K657" s="100"/>
      <x:c r="L657" s="100"/>
      <x:c r="M657" s="100"/>
      <x:c r="N657" s="100"/>
      <x:c r="O657" s="100"/>
      <x:c r="P657" s="100"/>
      <x:c r="Q657" s="100"/>
      <x:c r="R657" s="100"/>
      <x:c r="S657" s="100"/>
      <x:c r="T657" s="100"/>
      <x:c r="U657" s="100"/>
      <x:c r="V657" s="100"/>
      <x:c r="W657" s="100"/>
      <x:c r="X657" s="100"/>
      <x:c r="Y657" s="100"/>
      <x:c r="Z657" s="100"/>
    </x:row>
    <x:row r="658" spans="1:26">
      <x:c r="A658" s="111"/>
      <x:c r="B658" s="111"/>
      <x:c r="C658" s="111"/>
      <x:c r="D658" s="112"/>
      <x:c r="E658" s="113"/>
      <x:c r="F658" s="111"/>
      <x:c r="G658" s="111"/>
      <x:c r="H658" s="114"/>
      <x:c r="I658" s="115"/>
      <x:c r="J658" s="92"/>
      <x:c r="K658" s="92"/>
      <x:c r="L658" s="92"/>
      <x:c r="M658" s="92"/>
      <x:c r="N658" s="92"/>
      <x:c r="O658" s="92"/>
      <x:c r="P658" s="92"/>
      <x:c r="Q658" s="92"/>
      <x:c r="R658" s="92"/>
      <x:c r="S658" s="92"/>
      <x:c r="T658" s="92"/>
      <x:c r="U658" s="92"/>
      <x:c r="V658" s="92"/>
      <x:c r="W658" s="92"/>
      <x:c r="X658" s="92"/>
      <x:c r="Y658" s="92"/>
      <x:c r="Z658" s="92"/>
    </x:row>
    <x:row r="659" spans="1:26">
      <x:c r="A659" s="106"/>
      <x:c r="B659" s="106"/>
      <x:c r="C659" s="106"/>
      <x:c r="D659" s="107"/>
      <x:c r="E659" s="108"/>
      <x:c r="F659" s="106"/>
      <x:c r="G659" s="106"/>
      <x:c r="H659" s="109"/>
      <x:c r="I659" s="110"/>
      <x:c r="J659" s="100"/>
      <x:c r="K659" s="100"/>
      <x:c r="L659" s="100"/>
      <x:c r="M659" s="100"/>
      <x:c r="N659" s="100"/>
      <x:c r="O659" s="100"/>
      <x:c r="P659" s="100"/>
      <x:c r="Q659" s="100"/>
      <x:c r="R659" s="100"/>
      <x:c r="S659" s="100"/>
      <x:c r="T659" s="100"/>
      <x:c r="U659" s="100"/>
      <x:c r="V659" s="100"/>
      <x:c r="W659" s="100"/>
      <x:c r="X659" s="100"/>
      <x:c r="Y659" s="100"/>
      <x:c r="Z659" s="100"/>
    </x:row>
    <x:row r="660" spans="1:26">
      <x:c r="A660" s="111"/>
      <x:c r="B660" s="111"/>
      <x:c r="C660" s="111"/>
      <x:c r="D660" s="112"/>
      <x:c r="E660" s="113"/>
      <x:c r="F660" s="111"/>
      <x:c r="G660" s="111"/>
      <x:c r="H660" s="114"/>
      <x:c r="I660" s="115"/>
      <x:c r="J660" s="92"/>
      <x:c r="K660" s="92"/>
      <x:c r="L660" s="92"/>
      <x:c r="M660" s="92"/>
      <x:c r="N660" s="92"/>
      <x:c r="O660" s="92"/>
      <x:c r="P660" s="92"/>
      <x:c r="Q660" s="92"/>
      <x:c r="R660" s="92"/>
      <x:c r="S660" s="92"/>
      <x:c r="T660" s="92"/>
      <x:c r="U660" s="92"/>
      <x:c r="V660" s="92"/>
      <x:c r="W660" s="92"/>
      <x:c r="X660" s="92"/>
      <x:c r="Y660" s="92"/>
      <x:c r="Z660" s="92"/>
    </x:row>
    <x:row r="661" spans="1:26">
      <x:c r="A661" s="106"/>
      <x:c r="B661" s="106"/>
      <x:c r="C661" s="106"/>
      <x:c r="D661" s="107"/>
      <x:c r="E661" s="108"/>
      <x:c r="F661" s="106"/>
      <x:c r="G661" s="106"/>
      <x:c r="H661" s="109"/>
      <x:c r="I661" s="110"/>
      <x:c r="J661" s="100"/>
      <x:c r="K661" s="100"/>
      <x:c r="L661" s="100"/>
      <x:c r="M661" s="100"/>
      <x:c r="N661" s="100"/>
      <x:c r="O661" s="100"/>
      <x:c r="P661" s="100"/>
      <x:c r="Q661" s="100"/>
      <x:c r="R661" s="100"/>
      <x:c r="S661" s="100"/>
      <x:c r="T661" s="100"/>
      <x:c r="U661" s="100"/>
      <x:c r="V661" s="100"/>
      <x:c r="W661" s="100"/>
      <x:c r="X661" s="100"/>
      <x:c r="Y661" s="100"/>
      <x:c r="Z661" s="100"/>
    </x:row>
    <x:row r="662" spans="1:26">
      <x:c r="A662" s="111"/>
      <x:c r="B662" s="111"/>
      <x:c r="C662" s="111"/>
      <x:c r="D662" s="112"/>
      <x:c r="E662" s="113"/>
      <x:c r="F662" s="111"/>
      <x:c r="G662" s="111"/>
      <x:c r="H662" s="114"/>
      <x:c r="I662" s="115"/>
      <x:c r="J662" s="92"/>
      <x:c r="K662" s="92"/>
      <x:c r="L662" s="92"/>
      <x:c r="M662" s="92"/>
      <x:c r="N662" s="92"/>
      <x:c r="O662" s="92"/>
      <x:c r="P662" s="92"/>
      <x:c r="Q662" s="92"/>
      <x:c r="R662" s="92"/>
      <x:c r="S662" s="92"/>
      <x:c r="T662" s="92"/>
      <x:c r="U662" s="92"/>
      <x:c r="V662" s="92"/>
      <x:c r="W662" s="92"/>
      <x:c r="X662" s="92"/>
      <x:c r="Y662" s="92"/>
      <x:c r="Z662" s="92"/>
    </x:row>
    <x:row r="663" spans="1:26">
      <x:c r="A663" s="106"/>
      <x:c r="B663" s="106"/>
      <x:c r="C663" s="106"/>
      <x:c r="D663" s="107"/>
      <x:c r="E663" s="108"/>
      <x:c r="F663" s="106"/>
      <x:c r="G663" s="106"/>
      <x:c r="H663" s="109"/>
      <x:c r="I663" s="110"/>
      <x:c r="J663" s="100"/>
      <x:c r="K663" s="100"/>
      <x:c r="L663" s="100"/>
      <x:c r="M663" s="100"/>
      <x:c r="N663" s="100"/>
      <x:c r="O663" s="100"/>
      <x:c r="P663" s="100"/>
      <x:c r="Q663" s="100"/>
      <x:c r="R663" s="100"/>
      <x:c r="S663" s="100"/>
      <x:c r="T663" s="100"/>
      <x:c r="U663" s="100"/>
      <x:c r="V663" s="100"/>
      <x:c r="W663" s="100"/>
      <x:c r="X663" s="100"/>
      <x:c r="Y663" s="100"/>
      <x:c r="Z663" s="100"/>
    </x:row>
    <x:row r="664" spans="1:26">
      <x:c r="A664" s="111"/>
      <x:c r="B664" s="111"/>
      <x:c r="C664" s="111"/>
      <x:c r="D664" s="112"/>
      <x:c r="E664" s="113"/>
      <x:c r="F664" s="111"/>
      <x:c r="G664" s="111"/>
      <x:c r="H664" s="114"/>
      <x:c r="I664" s="115"/>
      <x:c r="J664" s="92"/>
      <x:c r="K664" s="92"/>
      <x:c r="L664" s="92"/>
      <x:c r="M664" s="92"/>
      <x:c r="N664" s="92"/>
      <x:c r="O664" s="92"/>
      <x:c r="P664" s="92"/>
      <x:c r="Q664" s="92"/>
      <x:c r="R664" s="92"/>
      <x:c r="S664" s="92"/>
      <x:c r="T664" s="92"/>
      <x:c r="U664" s="92"/>
      <x:c r="V664" s="92"/>
      <x:c r="W664" s="92"/>
      <x:c r="X664" s="92"/>
      <x:c r="Y664" s="92"/>
      <x:c r="Z664" s="92"/>
    </x:row>
    <x:row r="665" spans="1:26">
      <x:c r="A665" s="106"/>
      <x:c r="B665" s="106"/>
      <x:c r="C665" s="106"/>
      <x:c r="D665" s="107"/>
      <x:c r="E665" s="108"/>
      <x:c r="F665" s="106"/>
      <x:c r="G665" s="106"/>
      <x:c r="H665" s="109"/>
      <x:c r="I665" s="110"/>
      <x:c r="J665" s="100"/>
      <x:c r="K665" s="100"/>
      <x:c r="L665" s="100"/>
      <x:c r="M665" s="100"/>
      <x:c r="N665" s="100"/>
      <x:c r="O665" s="100"/>
      <x:c r="P665" s="100"/>
      <x:c r="Q665" s="100"/>
      <x:c r="R665" s="100"/>
      <x:c r="S665" s="100"/>
      <x:c r="T665" s="100"/>
      <x:c r="U665" s="100"/>
      <x:c r="V665" s="100"/>
      <x:c r="W665" s="100"/>
      <x:c r="X665" s="100"/>
      <x:c r="Y665" s="100"/>
      <x:c r="Z665" s="100"/>
    </x:row>
    <x:row r="666" spans="1:26">
      <x:c r="A666" s="111"/>
      <x:c r="B666" s="111"/>
      <x:c r="C666" s="111"/>
      <x:c r="D666" s="112"/>
      <x:c r="E666" s="113"/>
      <x:c r="F666" s="111"/>
      <x:c r="G666" s="111"/>
      <x:c r="H666" s="114"/>
      <x:c r="I666" s="115"/>
      <x:c r="J666" s="92"/>
      <x:c r="K666" s="92"/>
      <x:c r="L666" s="92"/>
      <x:c r="M666" s="92"/>
      <x:c r="N666" s="92"/>
      <x:c r="O666" s="92"/>
      <x:c r="P666" s="92"/>
      <x:c r="Q666" s="92"/>
      <x:c r="R666" s="92"/>
      <x:c r="S666" s="92"/>
      <x:c r="T666" s="92"/>
      <x:c r="U666" s="92"/>
      <x:c r="V666" s="92"/>
      <x:c r="W666" s="92"/>
      <x:c r="X666" s="92"/>
      <x:c r="Y666" s="92"/>
      <x:c r="Z666" s="92"/>
    </x:row>
    <x:row r="667" spans="1:26">
      <x:c r="A667" s="106"/>
      <x:c r="B667" s="106"/>
      <x:c r="C667" s="106"/>
      <x:c r="D667" s="107"/>
      <x:c r="E667" s="108"/>
      <x:c r="F667" s="106"/>
      <x:c r="G667" s="106"/>
      <x:c r="H667" s="109"/>
      <x:c r="I667" s="110"/>
      <x:c r="J667" s="100"/>
      <x:c r="K667" s="100"/>
      <x:c r="L667" s="100"/>
      <x:c r="M667" s="100"/>
      <x:c r="N667" s="100"/>
      <x:c r="O667" s="100"/>
      <x:c r="P667" s="100"/>
      <x:c r="Q667" s="100"/>
      <x:c r="R667" s="100"/>
      <x:c r="S667" s="100"/>
      <x:c r="T667" s="100"/>
      <x:c r="U667" s="100"/>
      <x:c r="V667" s="100"/>
      <x:c r="W667" s="100"/>
      <x:c r="X667" s="100"/>
      <x:c r="Y667" s="100"/>
      <x:c r="Z667" s="100"/>
    </x:row>
    <x:row r="668" spans="1:26">
      <x:c r="A668" s="111"/>
      <x:c r="B668" s="111"/>
      <x:c r="C668" s="111"/>
      <x:c r="D668" s="112"/>
      <x:c r="E668" s="113"/>
      <x:c r="F668" s="111"/>
      <x:c r="G668" s="111"/>
      <x:c r="H668" s="114"/>
      <x:c r="I668" s="115"/>
      <x:c r="J668" s="92"/>
      <x:c r="K668" s="92"/>
      <x:c r="L668" s="92"/>
      <x:c r="M668" s="92"/>
      <x:c r="N668" s="92"/>
      <x:c r="O668" s="92"/>
      <x:c r="P668" s="92"/>
      <x:c r="Q668" s="92"/>
      <x:c r="R668" s="92"/>
      <x:c r="S668" s="92"/>
      <x:c r="T668" s="92"/>
      <x:c r="U668" s="92"/>
      <x:c r="V668" s="92"/>
      <x:c r="W668" s="92"/>
      <x:c r="X668" s="92"/>
      <x:c r="Y668" s="92"/>
      <x:c r="Z668" s="92"/>
    </x:row>
    <x:row r="669" spans="1:26">
      <x:c r="A669" s="106"/>
      <x:c r="B669" s="106"/>
      <x:c r="C669" s="106"/>
      <x:c r="D669" s="107"/>
      <x:c r="E669" s="108"/>
      <x:c r="F669" s="106"/>
      <x:c r="G669" s="106"/>
      <x:c r="H669" s="109"/>
      <x:c r="I669" s="110"/>
      <x:c r="J669" s="100"/>
      <x:c r="K669" s="100"/>
      <x:c r="L669" s="100"/>
      <x:c r="M669" s="100"/>
      <x:c r="N669" s="100"/>
      <x:c r="O669" s="100"/>
      <x:c r="P669" s="100"/>
      <x:c r="Q669" s="100"/>
      <x:c r="R669" s="100"/>
      <x:c r="S669" s="100"/>
      <x:c r="T669" s="100"/>
      <x:c r="U669" s="100"/>
      <x:c r="V669" s="100"/>
      <x:c r="W669" s="100"/>
      <x:c r="X669" s="100"/>
      <x:c r="Y669" s="100"/>
      <x:c r="Z669" s="100"/>
    </x:row>
    <x:row r="670" spans="1:26">
      <x:c r="A670" s="111"/>
      <x:c r="B670" s="111"/>
      <x:c r="C670" s="111"/>
      <x:c r="D670" s="112"/>
      <x:c r="E670" s="113"/>
      <x:c r="F670" s="111"/>
      <x:c r="G670" s="111"/>
      <x:c r="H670" s="114"/>
      <x:c r="I670" s="115"/>
      <x:c r="J670" s="92"/>
      <x:c r="K670" s="92"/>
      <x:c r="L670" s="92"/>
      <x:c r="M670" s="92"/>
      <x:c r="N670" s="92"/>
      <x:c r="O670" s="92"/>
      <x:c r="P670" s="92"/>
      <x:c r="Q670" s="92"/>
      <x:c r="R670" s="92"/>
      <x:c r="S670" s="92"/>
      <x:c r="T670" s="92"/>
      <x:c r="U670" s="92"/>
      <x:c r="V670" s="92"/>
      <x:c r="W670" s="92"/>
      <x:c r="X670" s="92"/>
      <x:c r="Y670" s="92"/>
      <x:c r="Z670" s="92"/>
    </x:row>
    <x:row r="671" spans="1:26">
      <x:c r="A671" s="106"/>
      <x:c r="B671" s="106"/>
      <x:c r="C671" s="106"/>
      <x:c r="D671" s="107"/>
      <x:c r="E671" s="108"/>
      <x:c r="F671" s="106"/>
      <x:c r="G671" s="106"/>
      <x:c r="H671" s="109"/>
      <x:c r="I671" s="110"/>
      <x:c r="J671" s="100"/>
      <x:c r="K671" s="100"/>
      <x:c r="L671" s="100"/>
      <x:c r="M671" s="100"/>
      <x:c r="N671" s="100"/>
      <x:c r="O671" s="100"/>
      <x:c r="P671" s="100"/>
      <x:c r="Q671" s="100"/>
      <x:c r="R671" s="100"/>
      <x:c r="S671" s="100"/>
      <x:c r="T671" s="100"/>
      <x:c r="U671" s="100"/>
      <x:c r="V671" s="100"/>
      <x:c r="W671" s="100"/>
      <x:c r="X671" s="100"/>
      <x:c r="Y671" s="100"/>
      <x:c r="Z671" s="100"/>
    </x:row>
    <x:row r="672" spans="1:26">
      <x:c r="A672" s="111"/>
      <x:c r="B672" s="111"/>
      <x:c r="C672" s="111"/>
      <x:c r="D672" s="112"/>
      <x:c r="E672" s="113"/>
      <x:c r="F672" s="111"/>
      <x:c r="G672" s="111"/>
      <x:c r="H672" s="114"/>
      <x:c r="I672" s="115"/>
      <x:c r="J672" s="92"/>
      <x:c r="K672" s="92"/>
      <x:c r="L672" s="92"/>
      <x:c r="M672" s="92"/>
      <x:c r="N672" s="92"/>
      <x:c r="O672" s="92"/>
      <x:c r="P672" s="92"/>
      <x:c r="Q672" s="92"/>
      <x:c r="R672" s="92"/>
      <x:c r="S672" s="92"/>
      <x:c r="T672" s="92"/>
      <x:c r="U672" s="92"/>
      <x:c r="V672" s="92"/>
      <x:c r="W672" s="92"/>
      <x:c r="X672" s="92"/>
      <x:c r="Y672" s="92"/>
      <x:c r="Z672" s="92"/>
    </x:row>
    <x:row r="673" spans="1:26">
      <x:c r="A673" s="106"/>
      <x:c r="B673" s="106"/>
      <x:c r="C673" s="106"/>
      <x:c r="D673" s="107"/>
      <x:c r="E673" s="108"/>
      <x:c r="F673" s="106"/>
      <x:c r="G673" s="106"/>
      <x:c r="H673" s="109"/>
      <x:c r="I673" s="110"/>
      <x:c r="J673" s="100"/>
      <x:c r="K673" s="100"/>
      <x:c r="L673" s="100"/>
      <x:c r="M673" s="100"/>
      <x:c r="N673" s="100"/>
      <x:c r="O673" s="100"/>
      <x:c r="P673" s="100"/>
      <x:c r="Q673" s="100"/>
      <x:c r="R673" s="100"/>
      <x:c r="S673" s="100"/>
      <x:c r="T673" s="100"/>
      <x:c r="U673" s="100"/>
      <x:c r="V673" s="100"/>
      <x:c r="W673" s="100"/>
      <x:c r="X673" s="100"/>
      <x:c r="Y673" s="100"/>
      <x:c r="Z673" s="100"/>
    </x:row>
    <x:row r="674" spans="1:26">
      <x:c r="A674" s="111"/>
      <x:c r="B674" s="111"/>
      <x:c r="C674" s="111"/>
      <x:c r="D674" s="112"/>
      <x:c r="E674" s="113"/>
      <x:c r="F674" s="111"/>
      <x:c r="G674" s="111"/>
      <x:c r="H674" s="114"/>
      <x:c r="I674" s="115"/>
      <x:c r="J674" s="92"/>
      <x:c r="K674" s="92"/>
      <x:c r="L674" s="92"/>
      <x:c r="M674" s="92"/>
      <x:c r="N674" s="92"/>
      <x:c r="O674" s="92"/>
      <x:c r="P674" s="92"/>
      <x:c r="Q674" s="92"/>
      <x:c r="R674" s="92"/>
      <x:c r="S674" s="92"/>
      <x:c r="T674" s="92"/>
      <x:c r="U674" s="92"/>
      <x:c r="V674" s="92"/>
      <x:c r="W674" s="92"/>
      <x:c r="X674" s="92"/>
      <x:c r="Y674" s="92"/>
      <x:c r="Z674" s="92"/>
    </x:row>
    <x:row r="675" spans="1:26">
      <x:c r="A675" s="106"/>
      <x:c r="B675" s="106"/>
      <x:c r="C675" s="106"/>
      <x:c r="D675" s="107"/>
      <x:c r="E675" s="108"/>
      <x:c r="F675" s="106"/>
      <x:c r="G675" s="106"/>
      <x:c r="H675" s="109"/>
      <x:c r="I675" s="110"/>
      <x:c r="J675" s="100"/>
      <x:c r="K675" s="100"/>
      <x:c r="L675" s="100"/>
      <x:c r="M675" s="100"/>
      <x:c r="N675" s="100"/>
      <x:c r="O675" s="100"/>
      <x:c r="P675" s="100"/>
      <x:c r="Q675" s="100"/>
      <x:c r="R675" s="100"/>
      <x:c r="S675" s="100"/>
      <x:c r="T675" s="100"/>
      <x:c r="U675" s="100"/>
      <x:c r="V675" s="100"/>
      <x:c r="W675" s="100"/>
      <x:c r="X675" s="100"/>
      <x:c r="Y675" s="100"/>
      <x:c r="Z675" s="100"/>
    </x:row>
    <x:row r="676" spans="1:26">
      <x:c r="A676" s="111"/>
      <x:c r="B676" s="111"/>
      <x:c r="C676" s="111"/>
      <x:c r="D676" s="112"/>
      <x:c r="E676" s="113"/>
      <x:c r="F676" s="111"/>
      <x:c r="G676" s="111"/>
      <x:c r="H676" s="114"/>
      <x:c r="I676" s="115"/>
      <x:c r="J676" s="92"/>
      <x:c r="K676" s="92"/>
      <x:c r="L676" s="92"/>
      <x:c r="M676" s="92"/>
      <x:c r="N676" s="92"/>
      <x:c r="O676" s="92"/>
      <x:c r="P676" s="92"/>
      <x:c r="Q676" s="92"/>
      <x:c r="R676" s="92"/>
      <x:c r="S676" s="92"/>
      <x:c r="T676" s="92"/>
      <x:c r="U676" s="92"/>
      <x:c r="V676" s="92"/>
      <x:c r="W676" s="92"/>
      <x:c r="X676" s="92"/>
      <x:c r="Y676" s="92"/>
      <x:c r="Z676" s="92"/>
    </x:row>
    <x:row r="677" spans="1:26">
      <x:c r="A677" s="106"/>
      <x:c r="B677" s="106"/>
      <x:c r="C677" s="106"/>
      <x:c r="D677" s="107"/>
      <x:c r="E677" s="108"/>
      <x:c r="F677" s="106"/>
      <x:c r="G677" s="106"/>
      <x:c r="H677" s="109"/>
      <x:c r="I677" s="110"/>
      <x:c r="J677" s="100"/>
      <x:c r="K677" s="100"/>
      <x:c r="L677" s="100"/>
      <x:c r="M677" s="100"/>
      <x:c r="N677" s="100"/>
      <x:c r="O677" s="100"/>
      <x:c r="P677" s="100"/>
      <x:c r="Q677" s="100"/>
      <x:c r="R677" s="100"/>
      <x:c r="S677" s="100"/>
      <x:c r="T677" s="100"/>
      <x:c r="U677" s="100"/>
      <x:c r="V677" s="100"/>
      <x:c r="W677" s="100"/>
      <x:c r="X677" s="100"/>
      <x:c r="Y677" s="100"/>
      <x:c r="Z677" s="100"/>
    </x:row>
    <x:row r="678" spans="1:26">
      <x:c r="A678" s="111"/>
      <x:c r="B678" s="111"/>
      <x:c r="C678" s="111"/>
      <x:c r="D678" s="112"/>
      <x:c r="E678" s="113"/>
      <x:c r="F678" s="111"/>
      <x:c r="G678" s="111"/>
      <x:c r="H678" s="114"/>
      <x:c r="I678" s="115"/>
      <x:c r="J678" s="92"/>
      <x:c r="K678" s="92"/>
      <x:c r="L678" s="92"/>
      <x:c r="M678" s="92"/>
      <x:c r="N678" s="92"/>
      <x:c r="O678" s="92"/>
      <x:c r="P678" s="92"/>
      <x:c r="Q678" s="92"/>
      <x:c r="R678" s="92"/>
      <x:c r="S678" s="92"/>
      <x:c r="T678" s="92"/>
      <x:c r="U678" s="92"/>
      <x:c r="V678" s="92"/>
      <x:c r="W678" s="92"/>
      <x:c r="X678" s="92"/>
      <x:c r="Y678" s="92"/>
      <x:c r="Z678" s="92"/>
    </x:row>
    <x:row r="679" spans="1:26">
      <x:c r="A679" s="106"/>
      <x:c r="B679" s="106"/>
      <x:c r="C679" s="106"/>
      <x:c r="D679" s="107"/>
      <x:c r="E679" s="108"/>
      <x:c r="F679" s="106"/>
      <x:c r="G679" s="106"/>
      <x:c r="H679" s="109"/>
      <x:c r="I679" s="110"/>
      <x:c r="J679" s="100"/>
      <x:c r="K679" s="100"/>
      <x:c r="L679" s="100"/>
      <x:c r="M679" s="100"/>
      <x:c r="N679" s="100"/>
      <x:c r="O679" s="100"/>
      <x:c r="P679" s="100"/>
      <x:c r="Q679" s="100"/>
      <x:c r="R679" s="100"/>
      <x:c r="S679" s="100"/>
      <x:c r="T679" s="100"/>
      <x:c r="U679" s="100"/>
      <x:c r="V679" s="100"/>
      <x:c r="W679" s="100"/>
      <x:c r="X679" s="100"/>
      <x:c r="Y679" s="100"/>
      <x:c r="Z679" s="100"/>
    </x:row>
    <x:row r="680" spans="1:26">
      <x:c r="A680" s="111"/>
      <x:c r="B680" s="111"/>
      <x:c r="C680" s="111"/>
      <x:c r="D680" s="112"/>
      <x:c r="E680" s="113"/>
      <x:c r="F680" s="111"/>
      <x:c r="G680" s="111"/>
      <x:c r="H680" s="114"/>
      <x:c r="I680" s="115"/>
      <x:c r="J680" s="92"/>
      <x:c r="K680" s="92"/>
      <x:c r="L680" s="92"/>
      <x:c r="M680" s="92"/>
      <x:c r="N680" s="92"/>
      <x:c r="O680" s="92"/>
      <x:c r="P680" s="92"/>
      <x:c r="Q680" s="92"/>
      <x:c r="R680" s="92"/>
      <x:c r="S680" s="92"/>
      <x:c r="T680" s="92"/>
      <x:c r="U680" s="92"/>
      <x:c r="V680" s="92"/>
      <x:c r="W680" s="92"/>
      <x:c r="X680" s="92"/>
      <x:c r="Y680" s="92"/>
      <x:c r="Z680" s="92"/>
    </x:row>
    <x:row r="681" spans="1:26">
      <x:c r="A681" s="106"/>
      <x:c r="B681" s="106"/>
      <x:c r="C681" s="106"/>
      <x:c r="D681" s="107"/>
      <x:c r="E681" s="108"/>
      <x:c r="F681" s="106"/>
      <x:c r="G681" s="106"/>
      <x:c r="H681" s="109"/>
      <x:c r="I681" s="110"/>
      <x:c r="J681" s="100"/>
      <x:c r="K681" s="100"/>
      <x:c r="L681" s="100"/>
      <x:c r="M681" s="100"/>
      <x:c r="N681" s="100"/>
      <x:c r="O681" s="100"/>
      <x:c r="P681" s="100"/>
      <x:c r="Q681" s="100"/>
      <x:c r="R681" s="100"/>
      <x:c r="S681" s="100"/>
      <x:c r="T681" s="100"/>
      <x:c r="U681" s="100"/>
      <x:c r="V681" s="100"/>
      <x:c r="W681" s="100"/>
      <x:c r="X681" s="100"/>
      <x:c r="Y681" s="100"/>
      <x:c r="Z681" s="100"/>
    </x:row>
    <x:row r="682" spans="1:26">
      <x:c r="A682" s="111"/>
      <x:c r="B682" s="111"/>
      <x:c r="C682" s="111"/>
      <x:c r="D682" s="112"/>
      <x:c r="E682" s="113"/>
      <x:c r="F682" s="111"/>
      <x:c r="G682" s="111"/>
      <x:c r="H682" s="114"/>
      <x:c r="I682" s="115"/>
      <x:c r="J682" s="92"/>
      <x:c r="K682" s="92"/>
      <x:c r="L682" s="92"/>
      <x:c r="M682" s="92"/>
      <x:c r="N682" s="92"/>
      <x:c r="O682" s="92"/>
      <x:c r="P682" s="92"/>
      <x:c r="Q682" s="92"/>
      <x:c r="R682" s="92"/>
      <x:c r="S682" s="92"/>
      <x:c r="T682" s="92"/>
      <x:c r="U682" s="92"/>
      <x:c r="V682" s="92"/>
      <x:c r="W682" s="92"/>
      <x:c r="X682" s="92"/>
      <x:c r="Y682" s="92"/>
      <x:c r="Z682" s="92"/>
    </x:row>
    <x:row r="683" spans="1:26">
      <x:c r="A683" s="106"/>
      <x:c r="B683" s="106"/>
      <x:c r="C683" s="106"/>
      <x:c r="D683" s="107"/>
      <x:c r="E683" s="108"/>
      <x:c r="F683" s="106"/>
      <x:c r="G683" s="106"/>
      <x:c r="H683" s="109"/>
      <x:c r="I683" s="110"/>
      <x:c r="J683" s="100"/>
      <x:c r="K683" s="100"/>
      <x:c r="L683" s="100"/>
      <x:c r="M683" s="100"/>
      <x:c r="N683" s="100"/>
      <x:c r="O683" s="100"/>
      <x:c r="P683" s="100"/>
      <x:c r="Q683" s="100"/>
      <x:c r="R683" s="100"/>
      <x:c r="S683" s="100"/>
      <x:c r="T683" s="100"/>
      <x:c r="U683" s="100"/>
      <x:c r="V683" s="100"/>
      <x:c r="W683" s="100"/>
      <x:c r="X683" s="100"/>
      <x:c r="Y683" s="100"/>
      <x:c r="Z683" s="100"/>
    </x:row>
    <x:row r="684" spans="1:26">
      <x:c r="A684" s="111"/>
      <x:c r="B684" s="111"/>
      <x:c r="C684" s="111"/>
      <x:c r="D684" s="112"/>
      <x:c r="E684" s="113"/>
      <x:c r="F684" s="111"/>
      <x:c r="G684" s="111"/>
      <x:c r="H684" s="114"/>
      <x:c r="I684" s="115"/>
      <x:c r="J684" s="92"/>
      <x:c r="K684" s="92"/>
      <x:c r="L684" s="92"/>
      <x:c r="M684" s="92"/>
      <x:c r="N684" s="92"/>
      <x:c r="O684" s="92"/>
      <x:c r="P684" s="92"/>
      <x:c r="Q684" s="92"/>
      <x:c r="R684" s="92"/>
      <x:c r="S684" s="92"/>
      <x:c r="T684" s="92"/>
      <x:c r="U684" s="92"/>
      <x:c r="V684" s="92"/>
      <x:c r="W684" s="92"/>
      <x:c r="X684" s="92"/>
      <x:c r="Y684" s="92"/>
      <x:c r="Z684" s="92"/>
    </x:row>
    <x:row r="685" spans="1:26">
      <x:c r="A685" s="106"/>
      <x:c r="B685" s="106"/>
      <x:c r="C685" s="106"/>
      <x:c r="D685" s="107"/>
      <x:c r="E685" s="108"/>
      <x:c r="F685" s="106"/>
      <x:c r="G685" s="106"/>
      <x:c r="H685" s="109"/>
      <x:c r="I685" s="110"/>
      <x:c r="J685" s="100"/>
      <x:c r="K685" s="100"/>
      <x:c r="L685" s="100"/>
      <x:c r="M685" s="100"/>
      <x:c r="N685" s="100"/>
      <x:c r="O685" s="100"/>
      <x:c r="P685" s="100"/>
      <x:c r="Q685" s="100"/>
      <x:c r="R685" s="100"/>
      <x:c r="S685" s="100"/>
      <x:c r="T685" s="100"/>
      <x:c r="U685" s="100"/>
      <x:c r="V685" s="100"/>
      <x:c r="W685" s="100"/>
      <x:c r="X685" s="100"/>
      <x:c r="Y685" s="100"/>
      <x:c r="Z685" s="100"/>
    </x:row>
    <x:row r="686" spans="1:26">
      <x:c r="A686" s="111"/>
      <x:c r="B686" s="111"/>
      <x:c r="C686" s="111"/>
      <x:c r="D686" s="112"/>
      <x:c r="E686" s="113"/>
      <x:c r="F686" s="111"/>
      <x:c r="G686" s="111"/>
      <x:c r="H686" s="114"/>
      <x:c r="I686" s="115"/>
      <x:c r="J686" s="92"/>
      <x:c r="K686" s="92"/>
      <x:c r="L686" s="92"/>
      <x:c r="M686" s="92"/>
      <x:c r="N686" s="92"/>
      <x:c r="O686" s="92"/>
      <x:c r="P686" s="92"/>
      <x:c r="Q686" s="92"/>
      <x:c r="R686" s="92"/>
      <x:c r="S686" s="92"/>
      <x:c r="T686" s="92"/>
      <x:c r="U686" s="92"/>
      <x:c r="V686" s="92"/>
      <x:c r="W686" s="92"/>
      <x:c r="X686" s="92"/>
      <x:c r="Y686" s="92"/>
      <x:c r="Z686" s="92"/>
    </x:row>
    <x:row r="687" spans="1:26">
      <x:c r="A687" s="106"/>
      <x:c r="B687" s="106"/>
      <x:c r="C687" s="106"/>
      <x:c r="D687" s="107"/>
      <x:c r="E687" s="108"/>
      <x:c r="F687" s="106"/>
      <x:c r="G687" s="106"/>
      <x:c r="H687" s="109"/>
      <x:c r="I687" s="110"/>
      <x:c r="J687" s="100"/>
      <x:c r="K687" s="100"/>
      <x:c r="L687" s="100"/>
      <x:c r="M687" s="100"/>
      <x:c r="N687" s="100"/>
      <x:c r="O687" s="100"/>
      <x:c r="P687" s="100"/>
      <x:c r="Q687" s="100"/>
      <x:c r="R687" s="100"/>
      <x:c r="S687" s="100"/>
      <x:c r="T687" s="100"/>
      <x:c r="U687" s="100"/>
      <x:c r="V687" s="100"/>
      <x:c r="W687" s="100"/>
      <x:c r="X687" s="100"/>
      <x:c r="Y687" s="100"/>
      <x:c r="Z687" s="100"/>
    </x:row>
    <x:row r="688" spans="1:26">
      <x:c r="A688" s="111"/>
      <x:c r="B688" s="111"/>
      <x:c r="C688" s="111"/>
      <x:c r="D688" s="112"/>
      <x:c r="E688" s="113"/>
      <x:c r="F688" s="111"/>
      <x:c r="G688" s="111"/>
      <x:c r="H688" s="114"/>
      <x:c r="I688" s="115"/>
      <x:c r="J688" s="92"/>
      <x:c r="K688" s="92"/>
      <x:c r="L688" s="92"/>
      <x:c r="M688" s="92"/>
      <x:c r="N688" s="92"/>
      <x:c r="O688" s="92"/>
      <x:c r="P688" s="92"/>
      <x:c r="Q688" s="92"/>
      <x:c r="R688" s="92"/>
      <x:c r="S688" s="92"/>
      <x:c r="T688" s="92"/>
      <x:c r="U688" s="92"/>
      <x:c r="V688" s="92"/>
      <x:c r="W688" s="92"/>
      <x:c r="X688" s="92"/>
      <x:c r="Y688" s="92"/>
      <x:c r="Z688" s="92"/>
    </x:row>
    <x:row r="689" spans="1:26">
      <x:c r="A689" s="106"/>
      <x:c r="B689" s="106"/>
      <x:c r="C689" s="106"/>
      <x:c r="D689" s="107"/>
      <x:c r="E689" s="108"/>
      <x:c r="F689" s="106"/>
      <x:c r="G689" s="106"/>
      <x:c r="H689" s="109"/>
      <x:c r="I689" s="110"/>
      <x:c r="J689" s="100"/>
      <x:c r="K689" s="100"/>
      <x:c r="L689" s="100"/>
      <x:c r="M689" s="100"/>
      <x:c r="N689" s="100"/>
      <x:c r="O689" s="100"/>
      <x:c r="P689" s="100"/>
      <x:c r="Q689" s="100"/>
      <x:c r="R689" s="100"/>
      <x:c r="S689" s="100"/>
      <x:c r="T689" s="100"/>
      <x:c r="U689" s="100"/>
      <x:c r="V689" s="100"/>
      <x:c r="W689" s="100"/>
      <x:c r="X689" s="100"/>
      <x:c r="Y689" s="100"/>
      <x:c r="Z689" s="100"/>
    </x:row>
    <x:row r="690" spans="1:26">
      <x:c r="A690" s="111"/>
      <x:c r="B690" s="111"/>
      <x:c r="C690" s="111"/>
      <x:c r="D690" s="112"/>
      <x:c r="E690" s="113"/>
      <x:c r="F690" s="111"/>
      <x:c r="G690" s="111"/>
      <x:c r="H690" s="114"/>
      <x:c r="I690" s="115"/>
      <x:c r="J690" s="92"/>
      <x:c r="K690" s="92"/>
      <x:c r="L690" s="92"/>
      <x:c r="M690" s="92"/>
      <x:c r="N690" s="92"/>
      <x:c r="O690" s="92"/>
      <x:c r="P690" s="92"/>
      <x:c r="Q690" s="92"/>
      <x:c r="R690" s="92"/>
      <x:c r="S690" s="92"/>
      <x:c r="T690" s="92"/>
      <x:c r="U690" s="92"/>
      <x:c r="V690" s="92"/>
      <x:c r="W690" s="92"/>
      <x:c r="X690" s="92"/>
      <x:c r="Y690" s="92"/>
      <x:c r="Z690" s="92"/>
    </x:row>
    <x:row r="691" spans="1:26">
      <x:c r="A691" s="106"/>
      <x:c r="B691" s="106"/>
      <x:c r="C691" s="106"/>
      <x:c r="D691" s="107"/>
      <x:c r="E691" s="108"/>
      <x:c r="F691" s="106"/>
      <x:c r="G691" s="106"/>
      <x:c r="H691" s="109"/>
      <x:c r="I691" s="110"/>
      <x:c r="J691" s="100"/>
      <x:c r="K691" s="100"/>
      <x:c r="L691" s="100"/>
      <x:c r="M691" s="100"/>
      <x:c r="N691" s="100"/>
      <x:c r="O691" s="100"/>
      <x:c r="P691" s="100"/>
      <x:c r="Q691" s="100"/>
      <x:c r="R691" s="100"/>
      <x:c r="S691" s="100"/>
      <x:c r="T691" s="100"/>
      <x:c r="U691" s="100"/>
      <x:c r="V691" s="100"/>
      <x:c r="W691" s="100"/>
      <x:c r="X691" s="100"/>
      <x:c r="Y691" s="100"/>
      <x:c r="Z691" s="100"/>
    </x:row>
    <x:row r="692" spans="1:26">
      <x:c r="A692" s="111"/>
      <x:c r="B692" s="111"/>
      <x:c r="C692" s="111"/>
      <x:c r="D692" s="112"/>
      <x:c r="E692" s="113"/>
      <x:c r="F692" s="111"/>
      <x:c r="G692" s="111"/>
      <x:c r="H692" s="114"/>
      <x:c r="I692" s="115"/>
      <x:c r="J692" s="92"/>
      <x:c r="K692" s="92"/>
      <x:c r="L692" s="92"/>
      <x:c r="M692" s="92"/>
      <x:c r="N692" s="92"/>
      <x:c r="O692" s="92"/>
      <x:c r="P692" s="92"/>
      <x:c r="Q692" s="92"/>
      <x:c r="R692" s="92"/>
      <x:c r="S692" s="92"/>
      <x:c r="T692" s="92"/>
      <x:c r="U692" s="92"/>
      <x:c r="V692" s="92"/>
      <x:c r="W692" s="92"/>
      <x:c r="X692" s="92"/>
      <x:c r="Y692" s="92"/>
      <x:c r="Z692" s="92"/>
    </x:row>
    <x:row r="693" spans="1:26">
      <x:c r="A693" s="106"/>
      <x:c r="B693" s="106"/>
      <x:c r="C693" s="106"/>
      <x:c r="D693" s="107"/>
      <x:c r="E693" s="108"/>
      <x:c r="F693" s="106"/>
      <x:c r="G693" s="106"/>
      <x:c r="H693" s="109"/>
      <x:c r="I693" s="110"/>
      <x:c r="J693" s="100"/>
      <x:c r="K693" s="100"/>
      <x:c r="L693" s="100"/>
      <x:c r="M693" s="100"/>
      <x:c r="N693" s="100"/>
      <x:c r="O693" s="100"/>
      <x:c r="P693" s="100"/>
      <x:c r="Q693" s="100"/>
      <x:c r="R693" s="100"/>
      <x:c r="S693" s="100"/>
      <x:c r="T693" s="100"/>
      <x:c r="U693" s="100"/>
      <x:c r="V693" s="100"/>
      <x:c r="W693" s="100"/>
      <x:c r="X693" s="100"/>
      <x:c r="Y693" s="100"/>
      <x:c r="Z693" s="100"/>
    </x:row>
    <x:row r="694" spans="1:26">
      <x:c r="A694" s="111"/>
      <x:c r="B694" s="111"/>
      <x:c r="C694" s="111"/>
      <x:c r="D694" s="112"/>
      <x:c r="E694" s="113"/>
      <x:c r="F694" s="111"/>
      <x:c r="G694" s="111"/>
      <x:c r="H694" s="114"/>
      <x:c r="I694" s="115"/>
      <x:c r="J694" s="92"/>
      <x:c r="K694" s="92"/>
      <x:c r="L694" s="92"/>
      <x:c r="M694" s="92"/>
      <x:c r="N694" s="92"/>
      <x:c r="O694" s="92"/>
      <x:c r="P694" s="92"/>
      <x:c r="Q694" s="92"/>
      <x:c r="R694" s="92"/>
      <x:c r="S694" s="92"/>
      <x:c r="T694" s="92"/>
      <x:c r="U694" s="92"/>
      <x:c r="V694" s="92"/>
      <x:c r="W694" s="92"/>
      <x:c r="X694" s="92"/>
      <x:c r="Y694" s="92"/>
      <x:c r="Z694" s="92"/>
    </x:row>
    <x:row r="695" spans="1:26">
      <x:c r="A695" s="106"/>
      <x:c r="B695" s="106"/>
      <x:c r="C695" s="106"/>
      <x:c r="D695" s="107"/>
      <x:c r="E695" s="108"/>
      <x:c r="F695" s="106"/>
      <x:c r="G695" s="106"/>
      <x:c r="H695" s="109"/>
      <x:c r="I695" s="110"/>
      <x:c r="J695" s="100"/>
      <x:c r="K695" s="100"/>
      <x:c r="L695" s="100"/>
      <x:c r="M695" s="100"/>
      <x:c r="N695" s="100"/>
      <x:c r="O695" s="100"/>
      <x:c r="P695" s="100"/>
      <x:c r="Q695" s="100"/>
      <x:c r="R695" s="100"/>
      <x:c r="S695" s="100"/>
      <x:c r="T695" s="100"/>
      <x:c r="U695" s="100"/>
      <x:c r="V695" s="100"/>
      <x:c r="W695" s="100"/>
      <x:c r="X695" s="100"/>
      <x:c r="Y695" s="100"/>
      <x:c r="Z695" s="100"/>
    </x:row>
    <x:row r="696" spans="1:26">
      <x:c r="A696" s="111"/>
      <x:c r="B696" s="111"/>
      <x:c r="C696" s="111"/>
      <x:c r="D696" s="112"/>
      <x:c r="E696" s="113"/>
      <x:c r="F696" s="111"/>
      <x:c r="G696" s="111"/>
      <x:c r="H696" s="114"/>
      <x:c r="I696" s="115"/>
      <x:c r="J696" s="92"/>
      <x:c r="K696" s="92"/>
      <x:c r="L696" s="92"/>
      <x:c r="M696" s="92"/>
      <x:c r="N696" s="92"/>
      <x:c r="O696" s="92"/>
      <x:c r="P696" s="92"/>
      <x:c r="Q696" s="92"/>
      <x:c r="R696" s="92"/>
      <x:c r="S696" s="92"/>
      <x:c r="T696" s="92"/>
      <x:c r="U696" s="92"/>
      <x:c r="V696" s="92"/>
      <x:c r="W696" s="92"/>
      <x:c r="X696" s="92"/>
      <x:c r="Y696" s="92"/>
      <x:c r="Z696" s="92"/>
    </x:row>
    <x:row r="697" spans="1:26">
      <x:c r="A697" s="106"/>
      <x:c r="B697" s="106"/>
      <x:c r="C697" s="106"/>
      <x:c r="D697" s="107"/>
      <x:c r="E697" s="108"/>
      <x:c r="F697" s="106"/>
      <x:c r="G697" s="106"/>
      <x:c r="H697" s="109"/>
      <x:c r="I697" s="110"/>
      <x:c r="J697" s="100"/>
      <x:c r="K697" s="100"/>
      <x:c r="L697" s="100"/>
      <x:c r="M697" s="100"/>
      <x:c r="N697" s="100"/>
      <x:c r="O697" s="100"/>
      <x:c r="P697" s="100"/>
      <x:c r="Q697" s="100"/>
      <x:c r="R697" s="100"/>
      <x:c r="S697" s="100"/>
      <x:c r="T697" s="100"/>
      <x:c r="U697" s="100"/>
      <x:c r="V697" s="100"/>
      <x:c r="W697" s="100"/>
      <x:c r="X697" s="100"/>
      <x:c r="Y697" s="100"/>
      <x:c r="Z697" s="100"/>
    </x:row>
    <x:row r="698" spans="1:26">
      <x:c r="A698" s="111"/>
      <x:c r="B698" s="111"/>
      <x:c r="C698" s="111"/>
      <x:c r="D698" s="112"/>
      <x:c r="E698" s="113"/>
      <x:c r="F698" s="111"/>
      <x:c r="G698" s="111"/>
      <x:c r="H698" s="114"/>
      <x:c r="I698" s="115"/>
      <x:c r="J698" s="92"/>
      <x:c r="K698" s="92"/>
      <x:c r="L698" s="92"/>
      <x:c r="M698" s="92"/>
      <x:c r="N698" s="92"/>
      <x:c r="O698" s="92"/>
      <x:c r="P698" s="92"/>
      <x:c r="Q698" s="92"/>
      <x:c r="R698" s="92"/>
      <x:c r="S698" s="92"/>
      <x:c r="T698" s="92"/>
      <x:c r="U698" s="92"/>
      <x:c r="V698" s="92"/>
      <x:c r="W698" s="92"/>
      <x:c r="X698" s="92"/>
      <x:c r="Y698" s="92"/>
      <x:c r="Z698" s="92"/>
    </x:row>
    <x:row r="699" spans="1:26">
      <x:c r="A699" s="106"/>
      <x:c r="B699" s="106"/>
      <x:c r="C699" s="106"/>
      <x:c r="D699" s="107"/>
      <x:c r="E699" s="108"/>
      <x:c r="F699" s="106"/>
      <x:c r="G699" s="106"/>
      <x:c r="H699" s="109"/>
      <x:c r="I699" s="110"/>
      <x:c r="J699" s="100"/>
      <x:c r="K699" s="100"/>
      <x:c r="L699" s="100"/>
      <x:c r="M699" s="100"/>
      <x:c r="N699" s="100"/>
      <x:c r="O699" s="100"/>
      <x:c r="P699" s="100"/>
      <x:c r="Q699" s="100"/>
      <x:c r="R699" s="100"/>
      <x:c r="S699" s="100"/>
      <x:c r="T699" s="100"/>
      <x:c r="U699" s="100"/>
      <x:c r="V699" s="100"/>
      <x:c r="W699" s="100"/>
      <x:c r="X699" s="100"/>
      <x:c r="Y699" s="100"/>
      <x:c r="Z699" s="100"/>
    </x:row>
    <x:row r="700" spans="1:26">
      <x:c r="A700" s="111"/>
      <x:c r="B700" s="111"/>
      <x:c r="C700" s="111"/>
      <x:c r="D700" s="112"/>
      <x:c r="E700" s="113"/>
      <x:c r="F700" s="111"/>
      <x:c r="G700" s="111"/>
      <x:c r="H700" s="114"/>
      <x:c r="I700" s="115"/>
      <x:c r="J700" s="92"/>
      <x:c r="K700" s="92"/>
      <x:c r="L700" s="92"/>
      <x:c r="M700" s="92"/>
      <x:c r="N700" s="92"/>
      <x:c r="O700" s="92"/>
      <x:c r="P700" s="92"/>
      <x:c r="Q700" s="92"/>
      <x:c r="R700" s="92"/>
      <x:c r="S700" s="92"/>
      <x:c r="T700" s="92"/>
      <x:c r="U700" s="92"/>
      <x:c r="V700" s="92"/>
      <x:c r="W700" s="92"/>
      <x:c r="X700" s="92"/>
      <x:c r="Y700" s="92"/>
      <x:c r="Z700" s="92"/>
    </x:row>
    <x:row r="701" spans="1:26">
      <x:c r="A701" s="106"/>
      <x:c r="B701" s="106"/>
      <x:c r="C701" s="106"/>
      <x:c r="D701" s="107"/>
      <x:c r="E701" s="108"/>
      <x:c r="F701" s="106"/>
      <x:c r="G701" s="106"/>
      <x:c r="H701" s="109"/>
      <x:c r="I701" s="110"/>
      <x:c r="J701" s="100"/>
      <x:c r="K701" s="100"/>
      <x:c r="L701" s="100"/>
      <x:c r="M701" s="100"/>
      <x:c r="N701" s="100"/>
      <x:c r="O701" s="100"/>
      <x:c r="P701" s="100"/>
      <x:c r="Q701" s="100"/>
      <x:c r="R701" s="100"/>
      <x:c r="S701" s="100"/>
      <x:c r="T701" s="100"/>
      <x:c r="U701" s="100"/>
      <x:c r="V701" s="100"/>
      <x:c r="W701" s="100"/>
      <x:c r="X701" s="100"/>
      <x:c r="Y701" s="100"/>
      <x:c r="Z701" s="100"/>
    </x:row>
    <x:row r="702" spans="1:26">
      <x:c r="A702" s="111"/>
      <x:c r="B702" s="111"/>
      <x:c r="C702" s="111"/>
      <x:c r="D702" s="112"/>
      <x:c r="E702" s="113"/>
      <x:c r="F702" s="111"/>
      <x:c r="G702" s="111"/>
      <x:c r="H702" s="114"/>
      <x:c r="I702" s="115"/>
      <x:c r="J702" s="92"/>
      <x:c r="K702" s="92"/>
      <x:c r="L702" s="92"/>
      <x:c r="M702" s="92"/>
      <x:c r="N702" s="92"/>
      <x:c r="O702" s="92"/>
      <x:c r="P702" s="92"/>
      <x:c r="Q702" s="92"/>
      <x:c r="R702" s="92"/>
      <x:c r="S702" s="92"/>
      <x:c r="T702" s="92"/>
      <x:c r="U702" s="92"/>
      <x:c r="V702" s="92"/>
      <x:c r="W702" s="92"/>
      <x:c r="X702" s="92"/>
      <x:c r="Y702" s="92"/>
      <x:c r="Z702" s="92"/>
    </x:row>
    <x:row r="703" spans="1:26">
      <x:c r="A703" s="106"/>
      <x:c r="B703" s="106"/>
      <x:c r="C703" s="106"/>
      <x:c r="D703" s="107"/>
      <x:c r="E703" s="108"/>
      <x:c r="F703" s="106"/>
      <x:c r="G703" s="106"/>
      <x:c r="H703" s="109"/>
      <x:c r="I703" s="110"/>
      <x:c r="J703" s="100"/>
      <x:c r="K703" s="100"/>
      <x:c r="L703" s="100"/>
      <x:c r="M703" s="100"/>
      <x:c r="N703" s="100"/>
      <x:c r="O703" s="100"/>
      <x:c r="P703" s="100"/>
      <x:c r="Q703" s="100"/>
      <x:c r="R703" s="100"/>
      <x:c r="S703" s="100"/>
      <x:c r="T703" s="100"/>
      <x:c r="U703" s="100"/>
      <x:c r="V703" s="100"/>
      <x:c r="W703" s="100"/>
      <x:c r="X703" s="100"/>
      <x:c r="Y703" s="100"/>
      <x:c r="Z703" s="100"/>
    </x:row>
    <x:row r="704" spans="1:26">
      <x:c r="A704" s="111"/>
      <x:c r="B704" s="111"/>
      <x:c r="C704" s="111"/>
      <x:c r="D704" s="112"/>
      <x:c r="E704" s="113"/>
      <x:c r="F704" s="111"/>
      <x:c r="G704" s="111"/>
      <x:c r="H704" s="114"/>
      <x:c r="I704" s="115"/>
      <x:c r="J704" s="92"/>
      <x:c r="K704" s="92"/>
      <x:c r="L704" s="92"/>
      <x:c r="M704" s="92"/>
      <x:c r="N704" s="92"/>
      <x:c r="O704" s="92"/>
      <x:c r="P704" s="92"/>
      <x:c r="Q704" s="92"/>
      <x:c r="R704" s="92"/>
      <x:c r="S704" s="92"/>
      <x:c r="T704" s="92"/>
      <x:c r="U704" s="92"/>
      <x:c r="V704" s="92"/>
      <x:c r="W704" s="92"/>
      <x:c r="X704" s="92"/>
      <x:c r="Y704" s="92"/>
      <x:c r="Z704" s="92"/>
    </x:row>
    <x:row r="705" spans="1:26">
      <x:c r="A705" s="106"/>
      <x:c r="B705" s="106"/>
      <x:c r="C705" s="106"/>
      <x:c r="D705" s="107"/>
      <x:c r="E705" s="108"/>
      <x:c r="F705" s="106"/>
      <x:c r="G705" s="106"/>
      <x:c r="H705" s="109"/>
      <x:c r="I705" s="110"/>
      <x:c r="J705" s="100"/>
      <x:c r="K705" s="100"/>
      <x:c r="L705" s="100"/>
      <x:c r="M705" s="100"/>
      <x:c r="N705" s="100"/>
      <x:c r="O705" s="100"/>
      <x:c r="P705" s="100"/>
      <x:c r="Q705" s="100"/>
      <x:c r="R705" s="100"/>
      <x:c r="S705" s="100"/>
      <x:c r="T705" s="100"/>
      <x:c r="U705" s="100"/>
      <x:c r="V705" s="100"/>
      <x:c r="W705" s="100"/>
      <x:c r="X705" s="100"/>
      <x:c r="Y705" s="100"/>
      <x:c r="Z705" s="100"/>
    </x:row>
    <x:row r="706" spans="1:26">
      <x:c r="A706" s="111"/>
      <x:c r="B706" s="111"/>
      <x:c r="C706" s="111"/>
      <x:c r="D706" s="112"/>
      <x:c r="E706" s="113"/>
      <x:c r="F706" s="111"/>
      <x:c r="G706" s="111"/>
      <x:c r="H706" s="114"/>
      <x:c r="I706" s="115"/>
      <x:c r="J706" s="92"/>
      <x:c r="K706" s="92"/>
      <x:c r="L706" s="92"/>
      <x:c r="M706" s="92"/>
      <x:c r="N706" s="92"/>
      <x:c r="O706" s="92"/>
      <x:c r="P706" s="92"/>
      <x:c r="Q706" s="92"/>
      <x:c r="R706" s="92"/>
      <x:c r="S706" s="92"/>
      <x:c r="T706" s="92"/>
      <x:c r="U706" s="92"/>
      <x:c r="V706" s="92"/>
      <x:c r="W706" s="92"/>
      <x:c r="X706" s="92"/>
      <x:c r="Y706" s="92"/>
      <x:c r="Z706" s="92"/>
    </x:row>
    <x:row r="707" spans="1:26">
      <x:c r="A707" s="106"/>
      <x:c r="B707" s="106"/>
      <x:c r="C707" s="106"/>
      <x:c r="D707" s="107"/>
      <x:c r="E707" s="108"/>
      <x:c r="F707" s="106"/>
      <x:c r="G707" s="106"/>
      <x:c r="H707" s="109"/>
      <x:c r="I707" s="110"/>
      <x:c r="J707" s="100"/>
      <x:c r="K707" s="100"/>
      <x:c r="L707" s="100"/>
      <x:c r="M707" s="100"/>
      <x:c r="N707" s="100"/>
      <x:c r="O707" s="100"/>
      <x:c r="P707" s="100"/>
      <x:c r="Q707" s="100"/>
      <x:c r="R707" s="100"/>
      <x:c r="S707" s="100"/>
      <x:c r="T707" s="100"/>
      <x:c r="U707" s="100"/>
      <x:c r="V707" s="100"/>
      <x:c r="W707" s="100"/>
      <x:c r="X707" s="100"/>
      <x:c r="Y707" s="100"/>
      <x:c r="Z707" s="100"/>
    </x:row>
    <x:row r="708" spans="1:26">
      <x:c r="A708" s="111"/>
      <x:c r="B708" s="111"/>
      <x:c r="C708" s="111"/>
      <x:c r="D708" s="112"/>
      <x:c r="E708" s="113"/>
      <x:c r="F708" s="111"/>
      <x:c r="G708" s="111"/>
      <x:c r="H708" s="114"/>
      <x:c r="I708" s="115"/>
      <x:c r="J708" s="92"/>
      <x:c r="K708" s="92"/>
      <x:c r="L708" s="92"/>
      <x:c r="M708" s="92"/>
      <x:c r="N708" s="92"/>
      <x:c r="O708" s="92"/>
      <x:c r="P708" s="92"/>
      <x:c r="Q708" s="92"/>
      <x:c r="R708" s="92"/>
      <x:c r="S708" s="92"/>
      <x:c r="T708" s="92"/>
      <x:c r="U708" s="92"/>
      <x:c r="V708" s="92"/>
      <x:c r="W708" s="92"/>
      <x:c r="X708" s="92"/>
      <x:c r="Y708" s="92"/>
      <x:c r="Z708" s="92"/>
    </x:row>
    <x:row r="709" spans="1:26">
      <x:c r="A709" s="106"/>
      <x:c r="B709" s="106"/>
      <x:c r="C709" s="106"/>
      <x:c r="D709" s="107"/>
      <x:c r="E709" s="108"/>
      <x:c r="F709" s="106"/>
      <x:c r="G709" s="106"/>
      <x:c r="H709" s="109"/>
      <x:c r="I709" s="110"/>
      <x:c r="J709" s="100"/>
      <x:c r="K709" s="100"/>
      <x:c r="L709" s="100"/>
      <x:c r="M709" s="100"/>
      <x:c r="N709" s="100"/>
      <x:c r="O709" s="100"/>
      <x:c r="P709" s="100"/>
      <x:c r="Q709" s="100"/>
      <x:c r="R709" s="100"/>
      <x:c r="S709" s="100"/>
      <x:c r="T709" s="100"/>
      <x:c r="U709" s="100"/>
      <x:c r="V709" s="100"/>
      <x:c r="W709" s="100"/>
      <x:c r="X709" s="100"/>
      <x:c r="Y709" s="100"/>
      <x:c r="Z709" s="100"/>
    </x:row>
    <x:row r="710" spans="1:26">
      <x:c r="A710" s="111"/>
      <x:c r="B710" s="111"/>
      <x:c r="C710" s="111"/>
      <x:c r="D710" s="112"/>
      <x:c r="E710" s="113"/>
      <x:c r="F710" s="111"/>
      <x:c r="G710" s="111"/>
      <x:c r="H710" s="114"/>
      <x:c r="I710" s="115"/>
      <x:c r="J710" s="92"/>
      <x:c r="K710" s="92"/>
      <x:c r="L710" s="92"/>
      <x:c r="M710" s="92"/>
      <x:c r="N710" s="92"/>
      <x:c r="O710" s="92"/>
      <x:c r="P710" s="92"/>
      <x:c r="Q710" s="92"/>
      <x:c r="R710" s="92"/>
      <x:c r="S710" s="92"/>
      <x:c r="T710" s="92"/>
      <x:c r="U710" s="92"/>
      <x:c r="V710" s="92"/>
      <x:c r="W710" s="92"/>
      <x:c r="X710" s="92"/>
      <x:c r="Y710" s="92"/>
      <x:c r="Z710" s="92"/>
    </x:row>
    <x:row r="711" spans="1:26">
      <x:c r="A711" s="106"/>
      <x:c r="B711" s="106"/>
      <x:c r="C711" s="106"/>
      <x:c r="D711" s="107"/>
      <x:c r="E711" s="108"/>
      <x:c r="F711" s="106"/>
      <x:c r="G711" s="106"/>
      <x:c r="H711" s="109"/>
      <x:c r="I711" s="110"/>
      <x:c r="J711" s="100"/>
      <x:c r="K711" s="100"/>
      <x:c r="L711" s="100"/>
      <x:c r="M711" s="100"/>
      <x:c r="N711" s="100"/>
      <x:c r="O711" s="100"/>
      <x:c r="P711" s="100"/>
      <x:c r="Q711" s="100"/>
      <x:c r="R711" s="100"/>
      <x:c r="S711" s="100"/>
      <x:c r="T711" s="100"/>
      <x:c r="U711" s="100"/>
      <x:c r="V711" s="100"/>
      <x:c r="W711" s="100"/>
      <x:c r="X711" s="100"/>
      <x:c r="Y711" s="100"/>
      <x:c r="Z711" s="100"/>
    </x:row>
    <x:row r="712" spans="1:26">
      <x:c r="A712" s="111"/>
      <x:c r="B712" s="111"/>
      <x:c r="C712" s="111"/>
      <x:c r="D712" s="112"/>
      <x:c r="E712" s="113"/>
      <x:c r="F712" s="111"/>
      <x:c r="G712" s="111"/>
      <x:c r="H712" s="114"/>
      <x:c r="I712" s="115"/>
      <x:c r="J712" s="92"/>
      <x:c r="K712" s="92"/>
      <x:c r="L712" s="92"/>
      <x:c r="M712" s="92"/>
      <x:c r="N712" s="92"/>
      <x:c r="O712" s="92"/>
      <x:c r="P712" s="92"/>
      <x:c r="Q712" s="92"/>
      <x:c r="R712" s="92"/>
      <x:c r="S712" s="92"/>
      <x:c r="T712" s="92"/>
      <x:c r="U712" s="92"/>
      <x:c r="V712" s="92"/>
      <x:c r="W712" s="92"/>
      <x:c r="X712" s="92"/>
      <x:c r="Y712" s="92"/>
      <x:c r="Z712" s="92"/>
    </x:row>
    <x:row r="713" spans="1:26">
      <x:c r="A713" s="106"/>
      <x:c r="B713" s="106"/>
      <x:c r="C713" s="106"/>
      <x:c r="D713" s="107"/>
      <x:c r="E713" s="108"/>
      <x:c r="F713" s="106"/>
      <x:c r="G713" s="106"/>
      <x:c r="H713" s="109"/>
      <x:c r="I713" s="110"/>
      <x:c r="J713" s="100"/>
      <x:c r="K713" s="100"/>
      <x:c r="L713" s="100"/>
      <x:c r="M713" s="100"/>
      <x:c r="N713" s="100"/>
      <x:c r="O713" s="100"/>
      <x:c r="P713" s="100"/>
      <x:c r="Q713" s="100"/>
      <x:c r="R713" s="100"/>
      <x:c r="S713" s="100"/>
      <x:c r="T713" s="100"/>
      <x:c r="U713" s="100"/>
      <x:c r="V713" s="100"/>
      <x:c r="W713" s="100"/>
      <x:c r="X713" s="100"/>
      <x:c r="Y713" s="100"/>
      <x:c r="Z713" s="100"/>
    </x:row>
    <x:row r="714" spans="1:26">
      <x:c r="A714" s="111"/>
      <x:c r="B714" s="111"/>
      <x:c r="C714" s="111"/>
      <x:c r="D714" s="112"/>
      <x:c r="E714" s="113"/>
      <x:c r="F714" s="111"/>
      <x:c r="G714" s="111"/>
      <x:c r="H714" s="114"/>
      <x:c r="I714" s="115"/>
      <x:c r="J714" s="92"/>
      <x:c r="K714" s="92"/>
      <x:c r="L714" s="92"/>
      <x:c r="M714" s="92"/>
      <x:c r="N714" s="92"/>
      <x:c r="O714" s="92"/>
      <x:c r="P714" s="92"/>
      <x:c r="Q714" s="92"/>
      <x:c r="R714" s="92"/>
      <x:c r="S714" s="92"/>
      <x:c r="T714" s="92"/>
      <x:c r="U714" s="92"/>
      <x:c r="V714" s="92"/>
      <x:c r="W714" s="92"/>
      <x:c r="X714" s="92"/>
      <x:c r="Y714" s="92"/>
      <x:c r="Z714" s="92"/>
    </x:row>
    <x:row r="715" spans="1:26">
      <x:c r="A715" s="106"/>
      <x:c r="B715" s="106"/>
      <x:c r="C715" s="106"/>
      <x:c r="D715" s="107"/>
      <x:c r="E715" s="108"/>
      <x:c r="F715" s="106"/>
      <x:c r="G715" s="106"/>
      <x:c r="H715" s="109"/>
      <x:c r="I715" s="110"/>
      <x:c r="J715" s="100"/>
      <x:c r="K715" s="100"/>
      <x:c r="L715" s="100"/>
      <x:c r="M715" s="100"/>
      <x:c r="N715" s="100"/>
      <x:c r="O715" s="100"/>
      <x:c r="P715" s="100"/>
      <x:c r="Q715" s="100"/>
      <x:c r="R715" s="100"/>
      <x:c r="S715" s="100"/>
      <x:c r="T715" s="100"/>
      <x:c r="U715" s="100"/>
      <x:c r="V715" s="100"/>
      <x:c r="W715" s="100"/>
      <x:c r="X715" s="100"/>
      <x:c r="Y715" s="100"/>
      <x:c r="Z715" s="100"/>
    </x:row>
    <x:row r="716" spans="1:26">
      <x:c r="A716" s="111"/>
      <x:c r="B716" s="111"/>
      <x:c r="C716" s="111"/>
      <x:c r="D716" s="112"/>
      <x:c r="E716" s="113"/>
      <x:c r="F716" s="111"/>
      <x:c r="G716" s="111"/>
      <x:c r="H716" s="114"/>
      <x:c r="I716" s="115"/>
      <x:c r="J716" s="92"/>
      <x:c r="K716" s="92"/>
      <x:c r="L716" s="92"/>
      <x:c r="M716" s="92"/>
      <x:c r="N716" s="92"/>
      <x:c r="O716" s="92"/>
      <x:c r="P716" s="92"/>
      <x:c r="Q716" s="92"/>
      <x:c r="R716" s="92"/>
      <x:c r="S716" s="92"/>
      <x:c r="T716" s="92"/>
      <x:c r="U716" s="92"/>
      <x:c r="V716" s="92"/>
      <x:c r="W716" s="92"/>
      <x:c r="X716" s="92"/>
      <x:c r="Y716" s="92"/>
      <x:c r="Z716" s="92"/>
    </x:row>
    <x:row r="717" spans="1:26">
      <x:c r="A717" s="106"/>
      <x:c r="B717" s="106"/>
      <x:c r="C717" s="106"/>
      <x:c r="D717" s="107"/>
      <x:c r="E717" s="108"/>
      <x:c r="F717" s="106"/>
      <x:c r="G717" s="106"/>
      <x:c r="H717" s="109"/>
      <x:c r="I717" s="110"/>
      <x:c r="J717" s="100"/>
      <x:c r="K717" s="100"/>
      <x:c r="L717" s="100"/>
      <x:c r="M717" s="100"/>
      <x:c r="N717" s="100"/>
      <x:c r="O717" s="100"/>
      <x:c r="P717" s="100"/>
      <x:c r="Q717" s="100"/>
      <x:c r="R717" s="100"/>
      <x:c r="S717" s="100"/>
      <x:c r="T717" s="100"/>
      <x:c r="U717" s="100"/>
      <x:c r="V717" s="100"/>
      <x:c r="W717" s="100"/>
      <x:c r="X717" s="100"/>
      <x:c r="Y717" s="100"/>
      <x:c r="Z717" s="100"/>
    </x:row>
    <x:row r="718" spans="1:26">
      <x:c r="A718" s="111"/>
      <x:c r="B718" s="111"/>
      <x:c r="C718" s="111"/>
      <x:c r="D718" s="112"/>
      <x:c r="E718" s="113"/>
      <x:c r="F718" s="111"/>
      <x:c r="G718" s="111"/>
      <x:c r="H718" s="114"/>
      <x:c r="I718" s="115"/>
      <x:c r="J718" s="92"/>
      <x:c r="K718" s="92"/>
      <x:c r="L718" s="92"/>
      <x:c r="M718" s="92"/>
      <x:c r="N718" s="92"/>
      <x:c r="O718" s="92"/>
      <x:c r="P718" s="92"/>
      <x:c r="Q718" s="92"/>
      <x:c r="R718" s="92"/>
      <x:c r="S718" s="92"/>
      <x:c r="T718" s="92"/>
      <x:c r="U718" s="92"/>
      <x:c r="V718" s="92"/>
      <x:c r="W718" s="92"/>
      <x:c r="X718" s="92"/>
      <x:c r="Y718" s="92"/>
      <x:c r="Z718" s="92"/>
    </x:row>
    <x:row r="719" spans="1:26">
      <x:c r="A719" s="106"/>
      <x:c r="B719" s="106"/>
      <x:c r="C719" s="106"/>
      <x:c r="D719" s="107"/>
      <x:c r="E719" s="108"/>
      <x:c r="F719" s="106"/>
      <x:c r="G719" s="106"/>
      <x:c r="H719" s="109"/>
      <x:c r="I719" s="110"/>
      <x:c r="J719" s="100"/>
      <x:c r="K719" s="100"/>
      <x:c r="L719" s="100"/>
      <x:c r="M719" s="100"/>
      <x:c r="N719" s="100"/>
      <x:c r="O719" s="100"/>
      <x:c r="P719" s="100"/>
      <x:c r="Q719" s="100"/>
      <x:c r="R719" s="100"/>
      <x:c r="S719" s="100"/>
      <x:c r="T719" s="100"/>
      <x:c r="U719" s="100"/>
      <x:c r="V719" s="100"/>
      <x:c r="W719" s="100"/>
      <x:c r="X719" s="100"/>
      <x:c r="Y719" s="100"/>
      <x:c r="Z719" s="100"/>
    </x:row>
    <x:row r="720" spans="1:26">
      <x:c r="A720" s="111"/>
      <x:c r="B720" s="111"/>
      <x:c r="C720" s="111"/>
      <x:c r="D720" s="112"/>
      <x:c r="E720" s="113"/>
      <x:c r="F720" s="111"/>
      <x:c r="G720" s="111"/>
      <x:c r="H720" s="114"/>
      <x:c r="I720" s="115"/>
      <x:c r="J720" s="92"/>
      <x:c r="K720" s="92"/>
      <x:c r="L720" s="92"/>
      <x:c r="M720" s="92"/>
      <x:c r="N720" s="92"/>
      <x:c r="O720" s="92"/>
      <x:c r="P720" s="92"/>
      <x:c r="Q720" s="92"/>
      <x:c r="R720" s="92"/>
      <x:c r="S720" s="92"/>
      <x:c r="T720" s="92"/>
      <x:c r="U720" s="92"/>
      <x:c r="V720" s="92"/>
      <x:c r="W720" s="92"/>
      <x:c r="X720" s="92"/>
      <x:c r="Y720" s="92"/>
      <x:c r="Z720" s="92"/>
    </x:row>
    <x:row r="721" spans="1:26">
      <x:c r="A721" s="106"/>
      <x:c r="B721" s="106"/>
      <x:c r="C721" s="106"/>
      <x:c r="D721" s="107"/>
      <x:c r="E721" s="108"/>
      <x:c r="F721" s="106"/>
      <x:c r="G721" s="106"/>
      <x:c r="H721" s="109"/>
      <x:c r="I721" s="110"/>
      <x:c r="J721" s="100"/>
      <x:c r="K721" s="100"/>
      <x:c r="L721" s="100"/>
      <x:c r="M721" s="100"/>
      <x:c r="N721" s="100"/>
      <x:c r="O721" s="100"/>
      <x:c r="P721" s="100"/>
      <x:c r="Q721" s="100"/>
      <x:c r="R721" s="100"/>
      <x:c r="S721" s="100"/>
      <x:c r="T721" s="100"/>
      <x:c r="U721" s="100"/>
      <x:c r="V721" s="100"/>
      <x:c r="W721" s="100"/>
      <x:c r="X721" s="100"/>
      <x:c r="Y721" s="100"/>
      <x:c r="Z721" s="100"/>
    </x:row>
    <x:row r="722" spans="1:26">
      <x:c r="A722" s="111"/>
      <x:c r="B722" s="111"/>
      <x:c r="C722" s="111"/>
      <x:c r="D722" s="112"/>
      <x:c r="E722" s="113"/>
      <x:c r="F722" s="111"/>
      <x:c r="G722" s="111"/>
      <x:c r="H722" s="114"/>
      <x:c r="I722" s="115"/>
      <x:c r="J722" s="92"/>
      <x:c r="K722" s="92"/>
      <x:c r="L722" s="92"/>
      <x:c r="M722" s="92"/>
      <x:c r="N722" s="92"/>
      <x:c r="O722" s="92"/>
      <x:c r="P722" s="92"/>
      <x:c r="Q722" s="92"/>
      <x:c r="R722" s="92"/>
      <x:c r="S722" s="92"/>
      <x:c r="T722" s="92"/>
      <x:c r="U722" s="92"/>
      <x:c r="V722" s="92"/>
      <x:c r="W722" s="92"/>
      <x:c r="X722" s="92"/>
      <x:c r="Y722" s="92"/>
      <x:c r="Z722" s="92"/>
    </x:row>
    <x:row r="723" spans="1:26">
      <x:c r="A723" s="106"/>
      <x:c r="B723" s="106"/>
      <x:c r="C723" s="106"/>
      <x:c r="D723" s="107"/>
      <x:c r="E723" s="108"/>
      <x:c r="F723" s="106"/>
      <x:c r="G723" s="106"/>
      <x:c r="H723" s="109"/>
      <x:c r="I723" s="110"/>
      <x:c r="J723" s="100"/>
      <x:c r="K723" s="100"/>
      <x:c r="L723" s="100"/>
      <x:c r="M723" s="100"/>
      <x:c r="N723" s="100"/>
      <x:c r="O723" s="100"/>
      <x:c r="P723" s="100"/>
      <x:c r="Q723" s="100"/>
      <x:c r="R723" s="100"/>
      <x:c r="S723" s="100"/>
      <x:c r="T723" s="100"/>
      <x:c r="U723" s="100"/>
      <x:c r="V723" s="100"/>
      <x:c r="W723" s="100"/>
      <x:c r="X723" s="100"/>
      <x:c r="Y723" s="100"/>
      <x:c r="Z723" s="100"/>
    </x:row>
    <x:row r="724" spans="1:26">
      <x:c r="A724" s="111"/>
      <x:c r="B724" s="111"/>
      <x:c r="C724" s="111"/>
      <x:c r="D724" s="112"/>
      <x:c r="E724" s="113"/>
      <x:c r="F724" s="111"/>
      <x:c r="G724" s="111"/>
      <x:c r="H724" s="114"/>
      <x:c r="I724" s="115"/>
      <x:c r="J724" s="92"/>
      <x:c r="K724" s="92"/>
      <x:c r="L724" s="92"/>
      <x:c r="M724" s="92"/>
      <x:c r="N724" s="92"/>
      <x:c r="O724" s="92"/>
      <x:c r="P724" s="92"/>
      <x:c r="Q724" s="92"/>
      <x:c r="R724" s="92"/>
      <x:c r="S724" s="92"/>
      <x:c r="T724" s="92"/>
      <x:c r="U724" s="92"/>
      <x:c r="V724" s="92"/>
      <x:c r="W724" s="92"/>
      <x:c r="X724" s="92"/>
      <x:c r="Y724" s="92"/>
      <x:c r="Z724" s="92"/>
    </x:row>
    <x:row r="725" spans="1:26">
      <x:c r="A725" s="106"/>
      <x:c r="B725" s="106"/>
      <x:c r="C725" s="106"/>
      <x:c r="D725" s="107"/>
      <x:c r="E725" s="108"/>
      <x:c r="F725" s="106"/>
      <x:c r="G725" s="106"/>
      <x:c r="H725" s="109"/>
      <x:c r="I725" s="110"/>
      <x:c r="J725" s="100"/>
      <x:c r="K725" s="100"/>
      <x:c r="L725" s="100"/>
      <x:c r="M725" s="100"/>
      <x:c r="N725" s="100"/>
      <x:c r="O725" s="100"/>
      <x:c r="P725" s="100"/>
      <x:c r="Q725" s="100"/>
      <x:c r="R725" s="100"/>
      <x:c r="S725" s="100"/>
      <x:c r="T725" s="100"/>
      <x:c r="U725" s="100"/>
      <x:c r="V725" s="100"/>
      <x:c r="W725" s="100"/>
      <x:c r="X725" s="100"/>
      <x:c r="Y725" s="100"/>
      <x:c r="Z725" s="100"/>
    </x:row>
    <x:row r="726" spans="1:26">
      <x:c r="A726" s="111"/>
      <x:c r="B726" s="111"/>
      <x:c r="C726" s="111"/>
      <x:c r="D726" s="112"/>
      <x:c r="E726" s="113"/>
      <x:c r="F726" s="111"/>
      <x:c r="G726" s="111"/>
      <x:c r="H726" s="114"/>
      <x:c r="I726" s="115"/>
      <x:c r="J726" s="92"/>
      <x:c r="K726" s="92"/>
      <x:c r="L726" s="92"/>
      <x:c r="M726" s="92"/>
      <x:c r="N726" s="92"/>
      <x:c r="O726" s="92"/>
      <x:c r="P726" s="92"/>
      <x:c r="Q726" s="92"/>
      <x:c r="R726" s="92"/>
      <x:c r="S726" s="92"/>
      <x:c r="T726" s="92"/>
      <x:c r="U726" s="92"/>
      <x:c r="V726" s="92"/>
      <x:c r="W726" s="92"/>
      <x:c r="X726" s="92"/>
      <x:c r="Y726" s="92"/>
      <x:c r="Z726" s="92"/>
    </x:row>
    <x:row r="727" spans="1:26">
      <x:c r="A727" s="106"/>
      <x:c r="B727" s="106"/>
      <x:c r="C727" s="106"/>
      <x:c r="D727" s="107"/>
      <x:c r="E727" s="108"/>
      <x:c r="F727" s="106"/>
      <x:c r="G727" s="106"/>
      <x:c r="H727" s="109"/>
      <x:c r="I727" s="110"/>
      <x:c r="J727" s="100"/>
      <x:c r="K727" s="100"/>
      <x:c r="L727" s="100"/>
      <x:c r="M727" s="100"/>
      <x:c r="N727" s="100"/>
      <x:c r="O727" s="100"/>
      <x:c r="P727" s="100"/>
      <x:c r="Q727" s="100"/>
      <x:c r="R727" s="100"/>
      <x:c r="S727" s="100"/>
      <x:c r="T727" s="100"/>
      <x:c r="U727" s="100"/>
      <x:c r="V727" s="100"/>
      <x:c r="W727" s="100"/>
      <x:c r="X727" s="100"/>
      <x:c r="Y727" s="100"/>
      <x:c r="Z727" s="100"/>
    </x:row>
    <x:row r="728" spans="1:26">
      <x:c r="A728" s="111"/>
      <x:c r="B728" s="111"/>
      <x:c r="C728" s="111"/>
      <x:c r="D728" s="112"/>
      <x:c r="E728" s="113"/>
      <x:c r="F728" s="111"/>
      <x:c r="G728" s="111"/>
      <x:c r="H728" s="114"/>
      <x:c r="I728" s="115"/>
      <x:c r="J728" s="92"/>
      <x:c r="K728" s="92"/>
      <x:c r="L728" s="92"/>
      <x:c r="M728" s="92"/>
      <x:c r="N728" s="92"/>
      <x:c r="O728" s="92"/>
      <x:c r="P728" s="92"/>
      <x:c r="Q728" s="92"/>
      <x:c r="R728" s="92"/>
      <x:c r="S728" s="92"/>
      <x:c r="T728" s="92"/>
      <x:c r="U728" s="92"/>
      <x:c r="V728" s="92"/>
      <x:c r="W728" s="92"/>
      <x:c r="X728" s="92"/>
      <x:c r="Y728" s="92"/>
      <x:c r="Z728" s="92"/>
    </x:row>
    <x:row r="729" spans="1:26">
      <x:c r="A729" s="106"/>
      <x:c r="B729" s="106"/>
      <x:c r="C729" s="106"/>
      <x:c r="D729" s="107"/>
      <x:c r="E729" s="108"/>
      <x:c r="F729" s="106"/>
      <x:c r="G729" s="106"/>
      <x:c r="H729" s="109"/>
      <x:c r="I729" s="110"/>
      <x:c r="J729" s="100"/>
      <x:c r="K729" s="100"/>
      <x:c r="L729" s="100"/>
      <x:c r="M729" s="100"/>
      <x:c r="N729" s="100"/>
      <x:c r="O729" s="100"/>
      <x:c r="P729" s="100"/>
      <x:c r="Q729" s="100"/>
      <x:c r="R729" s="100"/>
      <x:c r="S729" s="100"/>
      <x:c r="T729" s="100"/>
      <x:c r="U729" s="100"/>
      <x:c r="V729" s="100"/>
      <x:c r="W729" s="100"/>
      <x:c r="X729" s="100"/>
      <x:c r="Y729" s="100"/>
      <x:c r="Z729" s="100"/>
    </x:row>
    <x:row r="730" spans="1:26">
      <x:c r="A730" s="111"/>
      <x:c r="B730" s="111"/>
      <x:c r="C730" s="111"/>
      <x:c r="D730" s="112"/>
      <x:c r="E730" s="113"/>
      <x:c r="F730" s="111"/>
      <x:c r="G730" s="111"/>
      <x:c r="H730" s="114"/>
      <x:c r="I730" s="115"/>
      <x:c r="J730" s="92"/>
      <x:c r="K730" s="92"/>
      <x:c r="L730" s="92"/>
      <x:c r="M730" s="92"/>
      <x:c r="N730" s="92"/>
      <x:c r="O730" s="92"/>
      <x:c r="P730" s="92"/>
      <x:c r="Q730" s="92"/>
      <x:c r="R730" s="92"/>
      <x:c r="S730" s="92"/>
      <x:c r="T730" s="92"/>
      <x:c r="U730" s="92"/>
      <x:c r="V730" s="92"/>
      <x:c r="W730" s="92"/>
      <x:c r="X730" s="92"/>
      <x:c r="Y730" s="92"/>
      <x:c r="Z730" s="92"/>
    </x:row>
    <x:row r="731" spans="1:26">
      <x:c r="A731" s="106"/>
      <x:c r="B731" s="106"/>
      <x:c r="C731" s="106"/>
      <x:c r="D731" s="107"/>
      <x:c r="E731" s="108"/>
      <x:c r="F731" s="106"/>
      <x:c r="G731" s="106"/>
      <x:c r="H731" s="109"/>
      <x:c r="I731" s="110"/>
      <x:c r="J731" s="100"/>
      <x:c r="K731" s="100"/>
      <x:c r="L731" s="100"/>
      <x:c r="M731" s="100"/>
      <x:c r="N731" s="100"/>
      <x:c r="O731" s="100"/>
      <x:c r="P731" s="100"/>
      <x:c r="Q731" s="100"/>
      <x:c r="R731" s="100"/>
      <x:c r="S731" s="100"/>
      <x:c r="T731" s="100"/>
      <x:c r="U731" s="100"/>
      <x:c r="V731" s="100"/>
      <x:c r="W731" s="100"/>
      <x:c r="X731" s="100"/>
      <x:c r="Y731" s="100"/>
      <x:c r="Z731" s="100"/>
    </x:row>
    <x:row r="732" spans="1:26">
      <x:c r="A732" s="111"/>
      <x:c r="B732" s="111"/>
      <x:c r="C732" s="111"/>
      <x:c r="D732" s="112"/>
      <x:c r="E732" s="113"/>
      <x:c r="F732" s="111"/>
      <x:c r="G732" s="111"/>
      <x:c r="H732" s="114"/>
      <x:c r="I732" s="115"/>
      <x:c r="J732" s="92"/>
      <x:c r="K732" s="92"/>
      <x:c r="L732" s="92"/>
      <x:c r="M732" s="92"/>
      <x:c r="N732" s="92"/>
      <x:c r="O732" s="92"/>
      <x:c r="P732" s="92"/>
      <x:c r="Q732" s="92"/>
      <x:c r="R732" s="92"/>
      <x:c r="S732" s="92"/>
      <x:c r="T732" s="92"/>
      <x:c r="U732" s="92"/>
      <x:c r="V732" s="92"/>
      <x:c r="W732" s="92"/>
      <x:c r="X732" s="92"/>
      <x:c r="Y732" s="92"/>
      <x:c r="Z732" s="92"/>
    </x:row>
    <x:row r="733" spans="1:26">
      <x:c r="A733" s="106"/>
      <x:c r="B733" s="106"/>
      <x:c r="C733" s="106"/>
      <x:c r="D733" s="107"/>
      <x:c r="E733" s="108"/>
      <x:c r="F733" s="106"/>
      <x:c r="G733" s="106"/>
      <x:c r="H733" s="109"/>
      <x:c r="I733" s="110"/>
      <x:c r="J733" s="100"/>
      <x:c r="K733" s="100"/>
      <x:c r="L733" s="100"/>
      <x:c r="M733" s="100"/>
      <x:c r="N733" s="100"/>
      <x:c r="O733" s="100"/>
      <x:c r="P733" s="100"/>
      <x:c r="Q733" s="100"/>
      <x:c r="R733" s="100"/>
      <x:c r="S733" s="100"/>
      <x:c r="T733" s="100"/>
      <x:c r="U733" s="100"/>
      <x:c r="V733" s="100"/>
      <x:c r="W733" s="100"/>
      <x:c r="X733" s="100"/>
      <x:c r="Y733" s="100"/>
      <x:c r="Z733" s="100"/>
    </x:row>
    <x:row r="734" spans="1:26">
      <x:c r="A734" s="111"/>
      <x:c r="B734" s="111"/>
      <x:c r="C734" s="111"/>
      <x:c r="D734" s="112"/>
      <x:c r="E734" s="113"/>
      <x:c r="F734" s="111"/>
      <x:c r="G734" s="111"/>
      <x:c r="H734" s="114"/>
      <x:c r="I734" s="115"/>
      <x:c r="J734" s="92"/>
      <x:c r="K734" s="92"/>
      <x:c r="L734" s="92"/>
      <x:c r="M734" s="92"/>
      <x:c r="N734" s="92"/>
      <x:c r="O734" s="92"/>
      <x:c r="P734" s="92"/>
      <x:c r="Q734" s="92"/>
      <x:c r="R734" s="92"/>
      <x:c r="S734" s="92"/>
      <x:c r="T734" s="92"/>
      <x:c r="U734" s="92"/>
      <x:c r="V734" s="92"/>
      <x:c r="W734" s="92"/>
      <x:c r="X734" s="92"/>
      <x:c r="Y734" s="92"/>
      <x:c r="Z734" s="92"/>
    </x:row>
    <x:row r="735" spans="1:26">
      <x:c r="A735" s="106"/>
      <x:c r="B735" s="106"/>
      <x:c r="C735" s="106"/>
      <x:c r="D735" s="107"/>
      <x:c r="E735" s="108"/>
      <x:c r="F735" s="106"/>
      <x:c r="G735" s="106"/>
      <x:c r="H735" s="109"/>
      <x:c r="I735" s="110"/>
      <x:c r="J735" s="100"/>
      <x:c r="K735" s="100"/>
      <x:c r="L735" s="100"/>
      <x:c r="M735" s="100"/>
      <x:c r="N735" s="100"/>
      <x:c r="O735" s="100"/>
      <x:c r="P735" s="100"/>
      <x:c r="Q735" s="100"/>
      <x:c r="R735" s="100"/>
      <x:c r="S735" s="100"/>
      <x:c r="T735" s="100"/>
      <x:c r="U735" s="100"/>
      <x:c r="V735" s="100"/>
      <x:c r="W735" s="100"/>
      <x:c r="X735" s="100"/>
      <x:c r="Y735" s="100"/>
      <x:c r="Z735" s="100"/>
    </x:row>
    <x:row r="736" spans="1:26">
      <x:c r="A736" s="111"/>
      <x:c r="B736" s="111"/>
      <x:c r="C736" s="111"/>
      <x:c r="D736" s="112"/>
      <x:c r="E736" s="113"/>
      <x:c r="F736" s="111"/>
      <x:c r="G736" s="111"/>
      <x:c r="H736" s="114"/>
      <x:c r="I736" s="115"/>
      <x:c r="J736" s="92"/>
      <x:c r="K736" s="92"/>
      <x:c r="L736" s="92"/>
      <x:c r="M736" s="92"/>
      <x:c r="N736" s="92"/>
      <x:c r="O736" s="92"/>
      <x:c r="P736" s="92"/>
      <x:c r="Q736" s="92"/>
      <x:c r="R736" s="92"/>
      <x:c r="S736" s="92"/>
      <x:c r="T736" s="92"/>
      <x:c r="U736" s="92"/>
      <x:c r="V736" s="92"/>
      <x:c r="W736" s="92"/>
      <x:c r="X736" s="92"/>
      <x:c r="Y736" s="92"/>
      <x:c r="Z736" s="92"/>
    </x:row>
    <x:row r="737" spans="1:26">
      <x:c r="A737" s="106"/>
      <x:c r="B737" s="106"/>
      <x:c r="C737" s="106"/>
      <x:c r="D737" s="107"/>
      <x:c r="E737" s="108"/>
      <x:c r="F737" s="106"/>
      <x:c r="G737" s="106"/>
      <x:c r="H737" s="109"/>
      <x:c r="I737" s="110"/>
      <x:c r="J737" s="100"/>
      <x:c r="K737" s="100"/>
      <x:c r="L737" s="100"/>
      <x:c r="M737" s="100"/>
      <x:c r="N737" s="100"/>
      <x:c r="O737" s="100"/>
      <x:c r="P737" s="100"/>
      <x:c r="Q737" s="100"/>
      <x:c r="R737" s="100"/>
      <x:c r="S737" s="100"/>
      <x:c r="T737" s="100"/>
      <x:c r="U737" s="100"/>
      <x:c r="V737" s="100"/>
      <x:c r="W737" s="100"/>
      <x:c r="X737" s="100"/>
      <x:c r="Y737" s="100"/>
      <x:c r="Z737" s="100"/>
    </x:row>
    <x:row r="738" spans="1:26">
      <x:c r="A738" s="111"/>
      <x:c r="B738" s="111"/>
      <x:c r="C738" s="111"/>
      <x:c r="D738" s="112"/>
      <x:c r="E738" s="113"/>
      <x:c r="F738" s="111"/>
      <x:c r="G738" s="111"/>
      <x:c r="H738" s="114"/>
      <x:c r="I738" s="115"/>
      <x:c r="J738" s="92"/>
      <x:c r="K738" s="92"/>
      <x:c r="L738" s="92"/>
      <x:c r="M738" s="92"/>
      <x:c r="N738" s="92"/>
      <x:c r="O738" s="92"/>
      <x:c r="P738" s="92"/>
      <x:c r="Q738" s="92"/>
      <x:c r="R738" s="92"/>
      <x:c r="S738" s="92"/>
      <x:c r="T738" s="92"/>
      <x:c r="U738" s="92"/>
      <x:c r="V738" s="92"/>
      <x:c r="W738" s="92"/>
      <x:c r="X738" s="92"/>
      <x:c r="Y738" s="92"/>
      <x:c r="Z738" s="92"/>
    </x:row>
    <x:row r="739" spans="1:26">
      <x:c r="A739" s="106"/>
      <x:c r="B739" s="106"/>
      <x:c r="C739" s="106"/>
      <x:c r="D739" s="107"/>
      <x:c r="E739" s="108"/>
      <x:c r="F739" s="106"/>
      <x:c r="G739" s="106"/>
      <x:c r="H739" s="109"/>
      <x:c r="I739" s="110"/>
      <x:c r="J739" s="100"/>
      <x:c r="K739" s="100"/>
      <x:c r="L739" s="100"/>
      <x:c r="M739" s="100"/>
      <x:c r="N739" s="100"/>
      <x:c r="O739" s="100"/>
      <x:c r="P739" s="100"/>
      <x:c r="Q739" s="100"/>
      <x:c r="R739" s="100"/>
      <x:c r="S739" s="100"/>
      <x:c r="T739" s="100"/>
      <x:c r="U739" s="100"/>
      <x:c r="V739" s="100"/>
      <x:c r="W739" s="100"/>
      <x:c r="X739" s="100"/>
      <x:c r="Y739" s="100"/>
      <x:c r="Z739" s="100"/>
    </x:row>
    <x:row r="740" spans="1:26">
      <x:c r="A740" s="111"/>
      <x:c r="B740" s="111"/>
      <x:c r="C740" s="111"/>
      <x:c r="D740" s="112"/>
      <x:c r="E740" s="113"/>
      <x:c r="F740" s="111"/>
      <x:c r="G740" s="111"/>
      <x:c r="H740" s="114"/>
      <x:c r="I740" s="115"/>
      <x:c r="J740" s="92"/>
      <x:c r="K740" s="92"/>
      <x:c r="L740" s="92"/>
      <x:c r="M740" s="92"/>
      <x:c r="N740" s="92"/>
      <x:c r="O740" s="92"/>
      <x:c r="P740" s="92"/>
      <x:c r="Q740" s="92"/>
      <x:c r="R740" s="92"/>
      <x:c r="S740" s="92"/>
      <x:c r="T740" s="92"/>
      <x:c r="U740" s="92"/>
      <x:c r="V740" s="92"/>
      <x:c r="W740" s="92"/>
      <x:c r="X740" s="92"/>
      <x:c r="Y740" s="92"/>
      <x:c r="Z740" s="92"/>
    </x:row>
    <x:row r="741" spans="1:26">
      <x:c r="A741" s="106"/>
      <x:c r="B741" s="106"/>
      <x:c r="C741" s="106"/>
      <x:c r="D741" s="107"/>
      <x:c r="E741" s="108"/>
      <x:c r="F741" s="106"/>
      <x:c r="G741" s="106"/>
      <x:c r="H741" s="109"/>
      <x:c r="I741" s="110"/>
      <x:c r="J741" s="100"/>
      <x:c r="K741" s="100"/>
      <x:c r="L741" s="100"/>
      <x:c r="M741" s="100"/>
      <x:c r="N741" s="100"/>
      <x:c r="O741" s="100"/>
      <x:c r="P741" s="100"/>
      <x:c r="Q741" s="100"/>
      <x:c r="R741" s="100"/>
      <x:c r="S741" s="100"/>
      <x:c r="T741" s="100"/>
      <x:c r="U741" s="100"/>
      <x:c r="V741" s="100"/>
      <x:c r="W741" s="100"/>
      <x:c r="X741" s="100"/>
      <x:c r="Y741" s="100"/>
      <x:c r="Z741" s="100"/>
    </x:row>
    <x:row r="742" spans="1:26">
      <x:c r="A742" s="111"/>
      <x:c r="B742" s="111"/>
      <x:c r="C742" s="111"/>
      <x:c r="D742" s="112"/>
      <x:c r="E742" s="113"/>
      <x:c r="F742" s="111"/>
      <x:c r="G742" s="111"/>
      <x:c r="H742" s="114"/>
      <x:c r="I742" s="115"/>
      <x:c r="J742" s="92"/>
      <x:c r="K742" s="92"/>
      <x:c r="L742" s="92"/>
      <x:c r="M742" s="92"/>
      <x:c r="N742" s="92"/>
      <x:c r="O742" s="92"/>
      <x:c r="P742" s="92"/>
      <x:c r="Q742" s="92"/>
      <x:c r="R742" s="92"/>
      <x:c r="S742" s="92"/>
      <x:c r="T742" s="92"/>
      <x:c r="U742" s="92"/>
      <x:c r="V742" s="92"/>
      <x:c r="W742" s="92"/>
      <x:c r="X742" s="92"/>
      <x:c r="Y742" s="92"/>
      <x:c r="Z742" s="92"/>
    </x:row>
    <x:row r="743" spans="1:26">
      <x:c r="A743" s="106"/>
      <x:c r="B743" s="106"/>
      <x:c r="C743" s="106"/>
      <x:c r="D743" s="107"/>
      <x:c r="E743" s="108"/>
      <x:c r="F743" s="106"/>
      <x:c r="G743" s="106"/>
      <x:c r="H743" s="109"/>
      <x:c r="I743" s="110"/>
      <x:c r="J743" s="100"/>
      <x:c r="K743" s="100"/>
      <x:c r="L743" s="100"/>
      <x:c r="M743" s="100"/>
      <x:c r="N743" s="100"/>
      <x:c r="O743" s="100"/>
      <x:c r="P743" s="100"/>
      <x:c r="Q743" s="100"/>
      <x:c r="R743" s="100"/>
      <x:c r="S743" s="100"/>
      <x:c r="T743" s="100"/>
      <x:c r="U743" s="100"/>
      <x:c r="V743" s="100"/>
      <x:c r="W743" s="100"/>
      <x:c r="X743" s="100"/>
      <x:c r="Y743" s="100"/>
      <x:c r="Z743" s="100"/>
    </x:row>
    <x:row r="744" spans="1:26">
      <x:c r="A744" s="111"/>
      <x:c r="B744" s="111"/>
      <x:c r="C744" s="111"/>
      <x:c r="D744" s="112"/>
      <x:c r="E744" s="113"/>
      <x:c r="F744" s="111"/>
      <x:c r="G744" s="111"/>
      <x:c r="H744" s="114"/>
      <x:c r="I744" s="115"/>
      <x:c r="J744" s="92"/>
      <x:c r="K744" s="92"/>
      <x:c r="L744" s="92"/>
      <x:c r="M744" s="92"/>
      <x:c r="N744" s="92"/>
      <x:c r="O744" s="92"/>
      <x:c r="P744" s="92"/>
      <x:c r="Q744" s="92"/>
      <x:c r="R744" s="92"/>
      <x:c r="S744" s="92"/>
      <x:c r="T744" s="92"/>
      <x:c r="U744" s="92"/>
      <x:c r="V744" s="92"/>
      <x:c r="W744" s="92"/>
      <x:c r="X744" s="92"/>
      <x:c r="Y744" s="92"/>
      <x:c r="Z744" s="92"/>
    </x:row>
    <x:row r="745" spans="1:26">
      <x:c r="A745" s="106"/>
      <x:c r="B745" s="106"/>
      <x:c r="C745" s="106"/>
      <x:c r="D745" s="107"/>
      <x:c r="E745" s="108"/>
      <x:c r="F745" s="106"/>
      <x:c r="G745" s="106"/>
      <x:c r="H745" s="109"/>
      <x:c r="I745" s="110"/>
      <x:c r="J745" s="100"/>
      <x:c r="K745" s="100"/>
      <x:c r="L745" s="100"/>
      <x:c r="M745" s="100"/>
      <x:c r="N745" s="100"/>
      <x:c r="O745" s="100"/>
      <x:c r="P745" s="100"/>
      <x:c r="Q745" s="100"/>
      <x:c r="R745" s="100"/>
      <x:c r="S745" s="100"/>
      <x:c r="T745" s="100"/>
      <x:c r="U745" s="100"/>
      <x:c r="V745" s="100"/>
      <x:c r="W745" s="100"/>
      <x:c r="X745" s="100"/>
      <x:c r="Y745" s="100"/>
      <x:c r="Z745" s="100"/>
    </x:row>
    <x:row r="746" spans="1:26">
      <x:c r="A746" s="111"/>
      <x:c r="B746" s="111"/>
      <x:c r="C746" s="111"/>
      <x:c r="D746" s="112"/>
      <x:c r="E746" s="113"/>
      <x:c r="F746" s="111"/>
      <x:c r="G746" s="111"/>
      <x:c r="H746" s="114"/>
      <x:c r="I746" s="115"/>
      <x:c r="J746" s="92"/>
      <x:c r="K746" s="92"/>
      <x:c r="L746" s="92"/>
      <x:c r="M746" s="92"/>
      <x:c r="N746" s="92"/>
      <x:c r="O746" s="92"/>
      <x:c r="P746" s="92"/>
      <x:c r="Q746" s="92"/>
      <x:c r="R746" s="92"/>
      <x:c r="S746" s="92"/>
      <x:c r="T746" s="92"/>
      <x:c r="U746" s="92"/>
      <x:c r="V746" s="92"/>
      <x:c r="W746" s="92"/>
      <x:c r="X746" s="92"/>
      <x:c r="Y746" s="92"/>
      <x:c r="Z746" s="92"/>
    </x:row>
    <x:row r="747" spans="1:26">
      <x:c r="A747" s="106"/>
      <x:c r="B747" s="106"/>
      <x:c r="C747" s="106"/>
      <x:c r="D747" s="107"/>
      <x:c r="E747" s="108"/>
      <x:c r="F747" s="106"/>
      <x:c r="G747" s="106"/>
      <x:c r="H747" s="109"/>
      <x:c r="I747" s="110"/>
      <x:c r="J747" s="100"/>
      <x:c r="K747" s="100"/>
      <x:c r="L747" s="100"/>
      <x:c r="M747" s="100"/>
      <x:c r="N747" s="100"/>
      <x:c r="O747" s="100"/>
      <x:c r="P747" s="100"/>
      <x:c r="Q747" s="100"/>
      <x:c r="R747" s="100"/>
      <x:c r="S747" s="100"/>
      <x:c r="T747" s="100"/>
      <x:c r="U747" s="100"/>
      <x:c r="V747" s="100"/>
      <x:c r="W747" s="100"/>
      <x:c r="X747" s="100"/>
      <x:c r="Y747" s="100"/>
      <x:c r="Z747" s="100"/>
    </x:row>
    <x:row r="748" spans="1:26">
      <x:c r="A748" s="111"/>
      <x:c r="B748" s="111"/>
      <x:c r="C748" s="111"/>
      <x:c r="D748" s="112"/>
      <x:c r="E748" s="113"/>
      <x:c r="F748" s="111"/>
      <x:c r="G748" s="111"/>
      <x:c r="H748" s="114"/>
      <x:c r="I748" s="115"/>
      <x:c r="J748" s="92"/>
      <x:c r="K748" s="92"/>
      <x:c r="L748" s="92"/>
      <x:c r="M748" s="92"/>
      <x:c r="N748" s="92"/>
      <x:c r="O748" s="92"/>
      <x:c r="P748" s="92"/>
      <x:c r="Q748" s="92"/>
      <x:c r="R748" s="92"/>
      <x:c r="S748" s="92"/>
      <x:c r="T748" s="92"/>
      <x:c r="U748" s="92"/>
      <x:c r="V748" s="92"/>
      <x:c r="W748" s="92"/>
      <x:c r="X748" s="92"/>
      <x:c r="Y748" s="92"/>
      <x:c r="Z748" s="92"/>
    </x:row>
    <x:row r="749" spans="1:26">
      <x:c r="A749" s="106"/>
      <x:c r="B749" s="106"/>
      <x:c r="C749" s="106"/>
      <x:c r="D749" s="107"/>
      <x:c r="E749" s="108"/>
      <x:c r="F749" s="106"/>
      <x:c r="G749" s="106"/>
      <x:c r="H749" s="109"/>
      <x:c r="I749" s="110"/>
      <x:c r="J749" s="100"/>
      <x:c r="K749" s="100"/>
      <x:c r="L749" s="100"/>
      <x:c r="M749" s="100"/>
      <x:c r="N749" s="100"/>
      <x:c r="O749" s="100"/>
      <x:c r="P749" s="100"/>
      <x:c r="Q749" s="100"/>
      <x:c r="R749" s="100"/>
      <x:c r="S749" s="100"/>
      <x:c r="T749" s="100"/>
      <x:c r="U749" s="100"/>
      <x:c r="V749" s="100"/>
      <x:c r="W749" s="100"/>
      <x:c r="X749" s="100"/>
      <x:c r="Y749" s="100"/>
      <x:c r="Z749" s="100"/>
    </x:row>
    <x:row r="750" spans="1:26">
      <x:c r="A750" s="111"/>
      <x:c r="B750" s="111"/>
      <x:c r="C750" s="111"/>
      <x:c r="D750" s="112"/>
      <x:c r="E750" s="113"/>
      <x:c r="F750" s="111"/>
      <x:c r="G750" s="111"/>
      <x:c r="H750" s="114"/>
      <x:c r="I750" s="115"/>
      <x:c r="J750" s="92"/>
      <x:c r="K750" s="92"/>
      <x:c r="L750" s="92"/>
      <x:c r="M750" s="92"/>
      <x:c r="N750" s="92"/>
      <x:c r="O750" s="92"/>
      <x:c r="P750" s="92"/>
      <x:c r="Q750" s="92"/>
      <x:c r="R750" s="92"/>
      <x:c r="S750" s="92"/>
      <x:c r="T750" s="92"/>
      <x:c r="U750" s="92"/>
      <x:c r="V750" s="92"/>
      <x:c r="W750" s="92"/>
      <x:c r="X750" s="92"/>
      <x:c r="Y750" s="92"/>
      <x:c r="Z750" s="92"/>
    </x:row>
    <x:row r="751" spans="1:26">
      <x:c r="A751" s="106"/>
      <x:c r="B751" s="106"/>
      <x:c r="C751" s="106"/>
      <x:c r="D751" s="107"/>
      <x:c r="E751" s="108"/>
      <x:c r="F751" s="106"/>
      <x:c r="G751" s="106"/>
      <x:c r="H751" s="109"/>
      <x:c r="I751" s="110"/>
      <x:c r="J751" s="100"/>
      <x:c r="K751" s="100"/>
      <x:c r="L751" s="100"/>
      <x:c r="M751" s="100"/>
      <x:c r="N751" s="100"/>
      <x:c r="O751" s="100"/>
      <x:c r="P751" s="100"/>
      <x:c r="Q751" s="100"/>
      <x:c r="R751" s="100"/>
      <x:c r="S751" s="100"/>
      <x:c r="T751" s="100"/>
      <x:c r="U751" s="100"/>
      <x:c r="V751" s="100"/>
      <x:c r="W751" s="100"/>
      <x:c r="X751" s="100"/>
      <x:c r="Y751" s="100"/>
      <x:c r="Z751" s="100"/>
    </x:row>
    <x:row r="752" spans="1:26">
      <x:c r="A752" s="111"/>
      <x:c r="B752" s="111"/>
      <x:c r="C752" s="111"/>
      <x:c r="D752" s="112"/>
      <x:c r="E752" s="113"/>
      <x:c r="F752" s="111"/>
      <x:c r="G752" s="111"/>
      <x:c r="H752" s="114"/>
      <x:c r="I752" s="115"/>
      <x:c r="J752" s="92"/>
      <x:c r="K752" s="92"/>
      <x:c r="L752" s="92"/>
      <x:c r="M752" s="92"/>
      <x:c r="N752" s="92"/>
      <x:c r="O752" s="92"/>
      <x:c r="P752" s="92"/>
      <x:c r="Q752" s="92"/>
      <x:c r="R752" s="92"/>
      <x:c r="S752" s="92"/>
      <x:c r="T752" s="92"/>
      <x:c r="U752" s="92"/>
      <x:c r="V752" s="92"/>
      <x:c r="W752" s="92"/>
      <x:c r="X752" s="92"/>
      <x:c r="Y752" s="92"/>
      <x:c r="Z752" s="92"/>
    </x:row>
    <x:row r="753" spans="1:26">
      <x:c r="A753" s="106"/>
      <x:c r="B753" s="106"/>
      <x:c r="C753" s="106"/>
      <x:c r="D753" s="107"/>
      <x:c r="E753" s="108"/>
      <x:c r="F753" s="106"/>
      <x:c r="G753" s="106"/>
      <x:c r="H753" s="109"/>
      <x:c r="I753" s="110"/>
      <x:c r="J753" s="100"/>
      <x:c r="K753" s="100"/>
      <x:c r="L753" s="100"/>
      <x:c r="M753" s="100"/>
      <x:c r="N753" s="100"/>
      <x:c r="O753" s="100"/>
      <x:c r="P753" s="100"/>
      <x:c r="Q753" s="100"/>
      <x:c r="R753" s="100"/>
      <x:c r="S753" s="100"/>
      <x:c r="T753" s="100"/>
      <x:c r="U753" s="100"/>
      <x:c r="V753" s="100"/>
      <x:c r="W753" s="100"/>
      <x:c r="X753" s="100"/>
      <x:c r="Y753" s="100"/>
      <x:c r="Z753" s="100"/>
    </x:row>
    <x:row r="754" spans="1:26">
      <x:c r="A754" s="111"/>
      <x:c r="B754" s="111"/>
      <x:c r="C754" s="111"/>
      <x:c r="D754" s="112"/>
      <x:c r="E754" s="113"/>
      <x:c r="F754" s="111"/>
      <x:c r="G754" s="111"/>
      <x:c r="H754" s="114"/>
      <x:c r="I754" s="115"/>
      <x:c r="J754" s="92"/>
      <x:c r="K754" s="92"/>
      <x:c r="L754" s="92"/>
      <x:c r="M754" s="92"/>
      <x:c r="N754" s="92"/>
      <x:c r="O754" s="92"/>
      <x:c r="P754" s="92"/>
      <x:c r="Q754" s="92"/>
      <x:c r="R754" s="92"/>
      <x:c r="S754" s="92"/>
      <x:c r="T754" s="92"/>
      <x:c r="U754" s="92"/>
      <x:c r="V754" s="92"/>
      <x:c r="W754" s="92"/>
      <x:c r="X754" s="92"/>
      <x:c r="Y754" s="92"/>
      <x:c r="Z754" s="92"/>
    </x:row>
    <x:row r="755" spans="1:26">
      <x:c r="A755" s="106"/>
      <x:c r="B755" s="106"/>
      <x:c r="C755" s="106"/>
      <x:c r="D755" s="107"/>
      <x:c r="E755" s="108"/>
      <x:c r="F755" s="106"/>
      <x:c r="G755" s="106"/>
      <x:c r="H755" s="109"/>
      <x:c r="I755" s="110"/>
      <x:c r="J755" s="100"/>
      <x:c r="K755" s="100"/>
      <x:c r="L755" s="100"/>
      <x:c r="M755" s="100"/>
      <x:c r="N755" s="100"/>
      <x:c r="O755" s="100"/>
      <x:c r="P755" s="100"/>
      <x:c r="Q755" s="100"/>
      <x:c r="R755" s="100"/>
      <x:c r="S755" s="100"/>
      <x:c r="T755" s="100"/>
      <x:c r="U755" s="100"/>
      <x:c r="V755" s="100"/>
      <x:c r="W755" s="100"/>
      <x:c r="X755" s="100"/>
      <x:c r="Y755" s="100"/>
      <x:c r="Z755" s="100"/>
    </x:row>
    <x:row r="756" spans="1:26">
      <x:c r="A756" s="111"/>
      <x:c r="B756" s="111"/>
      <x:c r="C756" s="111"/>
      <x:c r="D756" s="112"/>
      <x:c r="E756" s="113"/>
      <x:c r="F756" s="111"/>
      <x:c r="G756" s="111"/>
      <x:c r="H756" s="114"/>
      <x:c r="I756" s="115"/>
      <x:c r="J756" s="92"/>
      <x:c r="K756" s="92"/>
      <x:c r="L756" s="92"/>
      <x:c r="M756" s="92"/>
      <x:c r="N756" s="92"/>
      <x:c r="O756" s="92"/>
      <x:c r="P756" s="92"/>
      <x:c r="Q756" s="92"/>
      <x:c r="R756" s="92"/>
      <x:c r="S756" s="92"/>
      <x:c r="T756" s="92"/>
      <x:c r="U756" s="92"/>
      <x:c r="V756" s="92"/>
      <x:c r="W756" s="92"/>
      <x:c r="X756" s="92"/>
      <x:c r="Y756" s="92"/>
      <x:c r="Z756" s="92"/>
    </x:row>
    <x:row r="757" spans="1:26">
      <x:c r="A757" s="106"/>
      <x:c r="B757" s="106"/>
      <x:c r="C757" s="106"/>
      <x:c r="D757" s="107"/>
      <x:c r="E757" s="108"/>
      <x:c r="F757" s="106"/>
      <x:c r="G757" s="106"/>
      <x:c r="H757" s="109"/>
      <x:c r="I757" s="110"/>
      <x:c r="J757" s="100"/>
      <x:c r="K757" s="100"/>
      <x:c r="L757" s="100"/>
      <x:c r="M757" s="100"/>
      <x:c r="N757" s="100"/>
      <x:c r="O757" s="100"/>
      <x:c r="P757" s="100"/>
      <x:c r="Q757" s="100"/>
      <x:c r="R757" s="100"/>
      <x:c r="S757" s="100"/>
      <x:c r="T757" s="100"/>
      <x:c r="U757" s="100"/>
      <x:c r="V757" s="100"/>
      <x:c r="W757" s="100"/>
      <x:c r="X757" s="100"/>
      <x:c r="Y757" s="100"/>
      <x:c r="Z757" s="100"/>
    </x:row>
    <x:row r="758" spans="1:26">
      <x:c r="A758" s="111"/>
      <x:c r="B758" s="111"/>
      <x:c r="C758" s="111"/>
      <x:c r="D758" s="112"/>
      <x:c r="E758" s="113"/>
      <x:c r="F758" s="111"/>
      <x:c r="G758" s="111"/>
      <x:c r="H758" s="114"/>
      <x:c r="I758" s="115"/>
      <x:c r="J758" s="92"/>
      <x:c r="K758" s="92"/>
      <x:c r="L758" s="92"/>
      <x:c r="M758" s="92"/>
      <x:c r="N758" s="92"/>
      <x:c r="O758" s="92"/>
      <x:c r="P758" s="92"/>
      <x:c r="Q758" s="92"/>
      <x:c r="R758" s="92"/>
      <x:c r="S758" s="92"/>
      <x:c r="T758" s="92"/>
      <x:c r="U758" s="92"/>
      <x:c r="V758" s="92"/>
      <x:c r="W758" s="92"/>
      <x:c r="X758" s="92"/>
      <x:c r="Y758" s="92"/>
      <x:c r="Z758" s="92"/>
    </x:row>
    <x:row r="759" spans="1:26">
      <x:c r="A759" s="106"/>
      <x:c r="B759" s="106"/>
      <x:c r="C759" s="106"/>
      <x:c r="D759" s="107"/>
      <x:c r="E759" s="108"/>
      <x:c r="F759" s="106"/>
      <x:c r="G759" s="106"/>
      <x:c r="H759" s="109"/>
      <x:c r="I759" s="110"/>
      <x:c r="J759" s="100"/>
      <x:c r="K759" s="100"/>
      <x:c r="L759" s="100"/>
      <x:c r="M759" s="100"/>
      <x:c r="N759" s="100"/>
      <x:c r="O759" s="100"/>
      <x:c r="P759" s="100"/>
      <x:c r="Q759" s="100"/>
      <x:c r="R759" s="100"/>
      <x:c r="S759" s="100"/>
      <x:c r="T759" s="100"/>
      <x:c r="U759" s="100"/>
      <x:c r="V759" s="100"/>
      <x:c r="W759" s="100"/>
      <x:c r="X759" s="100"/>
      <x:c r="Y759" s="100"/>
      <x:c r="Z759" s="100"/>
    </x:row>
    <x:row r="760" spans="1:26">
      <x:c r="A760" s="111"/>
      <x:c r="B760" s="111"/>
      <x:c r="C760" s="111"/>
      <x:c r="D760" s="112"/>
      <x:c r="E760" s="113"/>
      <x:c r="F760" s="111"/>
      <x:c r="G760" s="111"/>
      <x:c r="H760" s="114"/>
      <x:c r="I760" s="115"/>
      <x:c r="J760" s="92"/>
      <x:c r="K760" s="92"/>
      <x:c r="L760" s="92"/>
      <x:c r="M760" s="92"/>
      <x:c r="N760" s="92"/>
      <x:c r="O760" s="92"/>
      <x:c r="P760" s="92"/>
      <x:c r="Q760" s="92"/>
      <x:c r="R760" s="92"/>
      <x:c r="S760" s="92"/>
      <x:c r="T760" s="92"/>
      <x:c r="U760" s="92"/>
      <x:c r="V760" s="92"/>
      <x:c r="W760" s="92"/>
      <x:c r="X760" s="92"/>
      <x:c r="Y760" s="92"/>
      <x:c r="Z760" s="92"/>
    </x:row>
    <x:row r="761" spans="1:26">
      <x:c r="A761" s="106"/>
      <x:c r="B761" s="106"/>
      <x:c r="C761" s="106"/>
      <x:c r="D761" s="107"/>
      <x:c r="E761" s="108"/>
      <x:c r="F761" s="106"/>
      <x:c r="G761" s="106"/>
      <x:c r="H761" s="109"/>
      <x:c r="I761" s="110"/>
      <x:c r="J761" s="100"/>
      <x:c r="K761" s="100"/>
      <x:c r="L761" s="100"/>
      <x:c r="M761" s="100"/>
      <x:c r="N761" s="100"/>
      <x:c r="O761" s="100"/>
      <x:c r="P761" s="100"/>
      <x:c r="Q761" s="100"/>
      <x:c r="R761" s="100"/>
      <x:c r="S761" s="100"/>
      <x:c r="T761" s="100"/>
      <x:c r="U761" s="100"/>
      <x:c r="V761" s="100"/>
      <x:c r="W761" s="100"/>
      <x:c r="X761" s="100"/>
      <x:c r="Y761" s="100"/>
      <x:c r="Z761" s="100"/>
    </x:row>
    <x:row r="762" spans="1:26">
      <x:c r="A762" s="111"/>
      <x:c r="B762" s="111"/>
      <x:c r="C762" s="111"/>
      <x:c r="D762" s="112"/>
      <x:c r="E762" s="113"/>
      <x:c r="F762" s="111"/>
      <x:c r="G762" s="111"/>
      <x:c r="H762" s="114"/>
      <x:c r="I762" s="115"/>
      <x:c r="J762" s="92"/>
      <x:c r="K762" s="92"/>
      <x:c r="L762" s="92"/>
      <x:c r="M762" s="92"/>
      <x:c r="N762" s="92"/>
      <x:c r="O762" s="92"/>
      <x:c r="P762" s="92"/>
      <x:c r="Q762" s="92"/>
      <x:c r="R762" s="92"/>
      <x:c r="S762" s="92"/>
      <x:c r="T762" s="92"/>
      <x:c r="U762" s="92"/>
      <x:c r="V762" s="92"/>
      <x:c r="W762" s="92"/>
      <x:c r="X762" s="92"/>
      <x:c r="Y762" s="92"/>
      <x:c r="Z762" s="92"/>
    </x:row>
    <x:row r="763" spans="1:26">
      <x:c r="A763" s="106"/>
      <x:c r="B763" s="106"/>
      <x:c r="C763" s="106"/>
      <x:c r="D763" s="107"/>
      <x:c r="E763" s="108"/>
      <x:c r="F763" s="106"/>
      <x:c r="G763" s="106"/>
      <x:c r="H763" s="109"/>
      <x:c r="I763" s="110"/>
      <x:c r="J763" s="100"/>
      <x:c r="K763" s="100"/>
      <x:c r="L763" s="100"/>
      <x:c r="M763" s="100"/>
      <x:c r="N763" s="100"/>
      <x:c r="O763" s="100"/>
      <x:c r="P763" s="100"/>
      <x:c r="Q763" s="100"/>
      <x:c r="R763" s="100"/>
      <x:c r="S763" s="100"/>
      <x:c r="T763" s="100"/>
      <x:c r="U763" s="100"/>
      <x:c r="V763" s="100"/>
      <x:c r="W763" s="100"/>
      <x:c r="X763" s="100"/>
      <x:c r="Y763" s="100"/>
      <x:c r="Z763" s="100"/>
    </x:row>
    <x:row r="764" spans="1:26">
      <x:c r="A764" s="111"/>
      <x:c r="B764" s="111"/>
      <x:c r="C764" s="111"/>
      <x:c r="D764" s="112"/>
      <x:c r="E764" s="113"/>
      <x:c r="F764" s="111"/>
      <x:c r="G764" s="111"/>
      <x:c r="H764" s="114"/>
      <x:c r="I764" s="115"/>
      <x:c r="J764" s="92"/>
      <x:c r="K764" s="92"/>
      <x:c r="L764" s="92"/>
      <x:c r="M764" s="92"/>
      <x:c r="N764" s="92"/>
      <x:c r="O764" s="92"/>
      <x:c r="P764" s="92"/>
      <x:c r="Q764" s="92"/>
      <x:c r="R764" s="92"/>
      <x:c r="S764" s="92"/>
      <x:c r="T764" s="92"/>
      <x:c r="U764" s="92"/>
      <x:c r="V764" s="92"/>
      <x:c r="W764" s="92"/>
      <x:c r="X764" s="92"/>
      <x:c r="Y764" s="92"/>
      <x:c r="Z764" s="92"/>
    </x:row>
    <x:row r="765" spans="1:26">
      <x:c r="A765" s="106"/>
      <x:c r="B765" s="106"/>
      <x:c r="C765" s="106"/>
      <x:c r="D765" s="107"/>
      <x:c r="E765" s="108"/>
      <x:c r="F765" s="106"/>
      <x:c r="G765" s="106"/>
      <x:c r="H765" s="109"/>
      <x:c r="I765" s="110"/>
      <x:c r="J765" s="100"/>
      <x:c r="K765" s="100"/>
      <x:c r="L765" s="100"/>
      <x:c r="M765" s="100"/>
      <x:c r="N765" s="100"/>
      <x:c r="O765" s="100"/>
      <x:c r="P765" s="100"/>
      <x:c r="Q765" s="100"/>
      <x:c r="R765" s="100"/>
      <x:c r="S765" s="100"/>
      <x:c r="T765" s="100"/>
      <x:c r="U765" s="100"/>
      <x:c r="V765" s="100"/>
      <x:c r="W765" s="100"/>
      <x:c r="X765" s="100"/>
      <x:c r="Y765" s="100"/>
      <x:c r="Z765" s="100"/>
    </x:row>
    <x:row r="766" spans="1:26">
      <x:c r="A766" s="111"/>
      <x:c r="B766" s="111"/>
      <x:c r="C766" s="111"/>
      <x:c r="D766" s="112"/>
      <x:c r="E766" s="113"/>
      <x:c r="F766" s="111"/>
      <x:c r="G766" s="111"/>
      <x:c r="H766" s="114"/>
      <x:c r="I766" s="115"/>
      <x:c r="J766" s="92"/>
      <x:c r="K766" s="92"/>
      <x:c r="L766" s="92"/>
      <x:c r="M766" s="92"/>
      <x:c r="N766" s="92"/>
      <x:c r="O766" s="92"/>
      <x:c r="P766" s="92"/>
      <x:c r="Q766" s="92"/>
      <x:c r="R766" s="92"/>
      <x:c r="S766" s="92"/>
      <x:c r="T766" s="92"/>
      <x:c r="U766" s="92"/>
      <x:c r="V766" s="92"/>
      <x:c r="W766" s="92"/>
      <x:c r="X766" s="92"/>
      <x:c r="Y766" s="92"/>
      <x:c r="Z766" s="92"/>
    </x:row>
    <x:row r="767" spans="1:26">
      <x:c r="A767" s="106"/>
      <x:c r="B767" s="106"/>
      <x:c r="C767" s="106"/>
      <x:c r="D767" s="107"/>
      <x:c r="E767" s="108"/>
      <x:c r="F767" s="106"/>
      <x:c r="G767" s="106"/>
      <x:c r="H767" s="109"/>
      <x:c r="I767" s="110"/>
      <x:c r="J767" s="100"/>
      <x:c r="K767" s="100"/>
      <x:c r="L767" s="100"/>
      <x:c r="M767" s="100"/>
      <x:c r="N767" s="100"/>
      <x:c r="O767" s="100"/>
      <x:c r="P767" s="100"/>
      <x:c r="Q767" s="100"/>
      <x:c r="R767" s="100"/>
      <x:c r="S767" s="100"/>
      <x:c r="T767" s="100"/>
      <x:c r="U767" s="100"/>
      <x:c r="V767" s="100"/>
      <x:c r="W767" s="100"/>
      <x:c r="X767" s="100"/>
      <x:c r="Y767" s="100"/>
      <x:c r="Z767" s="100"/>
    </x:row>
    <x:row r="768" spans="1:26">
      <x:c r="A768" s="111"/>
      <x:c r="B768" s="111"/>
      <x:c r="C768" s="111"/>
      <x:c r="D768" s="112"/>
      <x:c r="E768" s="113"/>
      <x:c r="F768" s="111"/>
      <x:c r="G768" s="111"/>
      <x:c r="H768" s="114"/>
      <x:c r="I768" s="115"/>
      <x:c r="J768" s="92"/>
      <x:c r="K768" s="92"/>
      <x:c r="L768" s="92"/>
      <x:c r="M768" s="92"/>
      <x:c r="N768" s="92"/>
      <x:c r="O768" s="92"/>
      <x:c r="P768" s="92"/>
      <x:c r="Q768" s="92"/>
      <x:c r="R768" s="92"/>
      <x:c r="S768" s="92"/>
      <x:c r="T768" s="92"/>
      <x:c r="U768" s="92"/>
      <x:c r="V768" s="92"/>
      <x:c r="W768" s="92"/>
      <x:c r="X768" s="92"/>
      <x:c r="Y768" s="92"/>
      <x:c r="Z768" s="92"/>
    </x:row>
    <x:row r="769" spans="1:26">
      <x:c r="A769" s="106"/>
      <x:c r="B769" s="106"/>
      <x:c r="C769" s="106"/>
      <x:c r="D769" s="107"/>
      <x:c r="E769" s="108"/>
      <x:c r="F769" s="106"/>
      <x:c r="G769" s="106"/>
      <x:c r="H769" s="109"/>
      <x:c r="I769" s="110"/>
      <x:c r="J769" s="100"/>
      <x:c r="K769" s="100"/>
      <x:c r="L769" s="100"/>
      <x:c r="M769" s="100"/>
      <x:c r="N769" s="100"/>
      <x:c r="O769" s="100"/>
      <x:c r="P769" s="100"/>
      <x:c r="Q769" s="100"/>
      <x:c r="R769" s="100"/>
      <x:c r="S769" s="100"/>
      <x:c r="T769" s="100"/>
      <x:c r="U769" s="100"/>
      <x:c r="V769" s="100"/>
      <x:c r="W769" s="100"/>
      <x:c r="X769" s="100"/>
      <x:c r="Y769" s="100"/>
      <x:c r="Z769" s="100"/>
    </x:row>
    <x:row r="770" spans="1:26">
      <x:c r="A770" s="111"/>
      <x:c r="B770" s="111"/>
      <x:c r="C770" s="111"/>
      <x:c r="D770" s="112"/>
      <x:c r="E770" s="113"/>
      <x:c r="F770" s="111"/>
      <x:c r="G770" s="111"/>
      <x:c r="H770" s="114"/>
      <x:c r="I770" s="115"/>
      <x:c r="J770" s="92"/>
      <x:c r="K770" s="92"/>
      <x:c r="L770" s="92"/>
      <x:c r="M770" s="92"/>
      <x:c r="N770" s="92"/>
      <x:c r="O770" s="92"/>
      <x:c r="P770" s="92"/>
      <x:c r="Q770" s="92"/>
      <x:c r="R770" s="92"/>
      <x:c r="S770" s="92"/>
      <x:c r="T770" s="92"/>
      <x:c r="U770" s="92"/>
      <x:c r="V770" s="92"/>
      <x:c r="W770" s="92"/>
      <x:c r="X770" s="92"/>
      <x:c r="Y770" s="92"/>
      <x:c r="Z770" s="92"/>
    </x:row>
    <x:row r="771" spans="1:26">
      <x:c r="A771" s="106"/>
      <x:c r="B771" s="106"/>
      <x:c r="C771" s="106"/>
      <x:c r="D771" s="107"/>
      <x:c r="E771" s="108"/>
      <x:c r="F771" s="106"/>
      <x:c r="G771" s="106"/>
      <x:c r="H771" s="109"/>
      <x:c r="I771" s="110"/>
      <x:c r="J771" s="100"/>
      <x:c r="K771" s="100"/>
      <x:c r="L771" s="100"/>
      <x:c r="M771" s="100"/>
      <x:c r="N771" s="100"/>
      <x:c r="O771" s="100"/>
      <x:c r="P771" s="100"/>
      <x:c r="Q771" s="100"/>
      <x:c r="R771" s="100"/>
      <x:c r="S771" s="100"/>
      <x:c r="T771" s="100"/>
      <x:c r="U771" s="100"/>
      <x:c r="V771" s="100"/>
      <x:c r="W771" s="100"/>
      <x:c r="X771" s="100"/>
      <x:c r="Y771" s="100"/>
      <x:c r="Z771" s="100"/>
    </x:row>
    <x:row r="772" spans="1:26">
      <x:c r="A772" s="111"/>
      <x:c r="B772" s="111"/>
      <x:c r="C772" s="111"/>
      <x:c r="D772" s="112"/>
      <x:c r="E772" s="113"/>
      <x:c r="F772" s="111"/>
      <x:c r="G772" s="111"/>
      <x:c r="H772" s="114"/>
      <x:c r="I772" s="115"/>
      <x:c r="J772" s="92"/>
      <x:c r="K772" s="92"/>
      <x:c r="L772" s="92"/>
      <x:c r="M772" s="92"/>
      <x:c r="N772" s="92"/>
      <x:c r="O772" s="92"/>
      <x:c r="P772" s="92"/>
      <x:c r="Q772" s="92"/>
      <x:c r="R772" s="92"/>
      <x:c r="S772" s="92"/>
      <x:c r="T772" s="92"/>
      <x:c r="U772" s="92"/>
      <x:c r="V772" s="92"/>
      <x:c r="W772" s="92"/>
      <x:c r="X772" s="92"/>
      <x:c r="Y772" s="92"/>
      <x:c r="Z772" s="92"/>
    </x:row>
    <x:row r="773" spans="1:26">
      <x:c r="A773" s="106"/>
      <x:c r="B773" s="106"/>
      <x:c r="C773" s="106"/>
      <x:c r="D773" s="107"/>
      <x:c r="E773" s="108"/>
      <x:c r="F773" s="106"/>
      <x:c r="G773" s="106"/>
      <x:c r="H773" s="109"/>
      <x:c r="I773" s="110"/>
      <x:c r="J773" s="100"/>
      <x:c r="K773" s="100"/>
      <x:c r="L773" s="100"/>
      <x:c r="M773" s="100"/>
      <x:c r="N773" s="100"/>
      <x:c r="O773" s="100"/>
      <x:c r="P773" s="100"/>
      <x:c r="Q773" s="100"/>
      <x:c r="R773" s="100"/>
      <x:c r="S773" s="100"/>
      <x:c r="T773" s="100"/>
      <x:c r="U773" s="100"/>
      <x:c r="V773" s="100"/>
      <x:c r="W773" s="100"/>
      <x:c r="X773" s="100"/>
      <x:c r="Y773" s="100"/>
      <x:c r="Z773" s="100"/>
    </x:row>
    <x:row r="774" spans="1:26">
      <x:c r="A774" s="111"/>
      <x:c r="B774" s="111"/>
      <x:c r="C774" s="111"/>
      <x:c r="D774" s="112"/>
      <x:c r="E774" s="113"/>
      <x:c r="F774" s="111"/>
      <x:c r="G774" s="111"/>
      <x:c r="H774" s="114"/>
      <x:c r="I774" s="115"/>
      <x:c r="J774" s="92"/>
      <x:c r="K774" s="92"/>
      <x:c r="L774" s="92"/>
      <x:c r="M774" s="92"/>
      <x:c r="N774" s="92"/>
      <x:c r="O774" s="92"/>
      <x:c r="P774" s="92"/>
      <x:c r="Q774" s="92"/>
      <x:c r="R774" s="92"/>
      <x:c r="S774" s="92"/>
      <x:c r="T774" s="92"/>
      <x:c r="U774" s="92"/>
      <x:c r="V774" s="92"/>
      <x:c r="W774" s="92"/>
      <x:c r="X774" s="92"/>
      <x:c r="Y774" s="92"/>
      <x:c r="Z774" s="92"/>
    </x:row>
    <x:row r="775" spans="1:26">
      <x:c r="A775" s="106"/>
      <x:c r="B775" s="106"/>
      <x:c r="C775" s="106"/>
      <x:c r="D775" s="107"/>
      <x:c r="E775" s="108"/>
      <x:c r="F775" s="106"/>
      <x:c r="G775" s="106"/>
      <x:c r="H775" s="109"/>
      <x:c r="I775" s="110"/>
      <x:c r="J775" s="100"/>
      <x:c r="K775" s="100"/>
      <x:c r="L775" s="100"/>
      <x:c r="M775" s="100"/>
      <x:c r="N775" s="100"/>
      <x:c r="O775" s="100"/>
      <x:c r="P775" s="100"/>
      <x:c r="Q775" s="100"/>
      <x:c r="R775" s="100"/>
      <x:c r="S775" s="100"/>
      <x:c r="T775" s="100"/>
      <x:c r="U775" s="100"/>
      <x:c r="V775" s="100"/>
      <x:c r="W775" s="100"/>
      <x:c r="X775" s="100"/>
      <x:c r="Y775" s="100"/>
      <x:c r="Z775" s="100"/>
    </x:row>
    <x:row r="776" spans="1:26">
      <x:c r="A776" s="111"/>
      <x:c r="B776" s="111"/>
      <x:c r="C776" s="111"/>
      <x:c r="D776" s="112"/>
      <x:c r="E776" s="113"/>
      <x:c r="F776" s="111"/>
      <x:c r="G776" s="111"/>
      <x:c r="H776" s="114"/>
      <x:c r="I776" s="115"/>
      <x:c r="J776" s="92"/>
      <x:c r="K776" s="92"/>
      <x:c r="L776" s="92"/>
      <x:c r="M776" s="92"/>
      <x:c r="N776" s="92"/>
      <x:c r="O776" s="92"/>
      <x:c r="P776" s="92"/>
      <x:c r="Q776" s="92"/>
      <x:c r="R776" s="92"/>
      <x:c r="S776" s="92"/>
      <x:c r="T776" s="92"/>
      <x:c r="U776" s="92"/>
      <x:c r="V776" s="92"/>
      <x:c r="W776" s="92"/>
      <x:c r="X776" s="92"/>
      <x:c r="Y776" s="92"/>
      <x:c r="Z776" s="92"/>
    </x:row>
    <x:row r="777" spans="1:26">
      <x:c r="A777" s="106"/>
      <x:c r="B777" s="106"/>
      <x:c r="C777" s="106"/>
      <x:c r="D777" s="107"/>
      <x:c r="E777" s="108"/>
      <x:c r="F777" s="106"/>
      <x:c r="G777" s="106"/>
      <x:c r="H777" s="109"/>
      <x:c r="I777" s="110"/>
      <x:c r="J777" s="100"/>
      <x:c r="K777" s="100"/>
      <x:c r="L777" s="100"/>
      <x:c r="M777" s="100"/>
      <x:c r="N777" s="100"/>
      <x:c r="O777" s="100"/>
      <x:c r="P777" s="100"/>
      <x:c r="Q777" s="100"/>
      <x:c r="R777" s="100"/>
      <x:c r="S777" s="100"/>
      <x:c r="T777" s="100"/>
      <x:c r="U777" s="100"/>
      <x:c r="V777" s="100"/>
      <x:c r="W777" s="100"/>
      <x:c r="X777" s="100"/>
      <x:c r="Y777" s="100"/>
      <x:c r="Z777" s="100"/>
    </x:row>
    <x:row r="778" spans="1:26">
      <x:c r="A778" s="111"/>
      <x:c r="B778" s="111"/>
      <x:c r="C778" s="111"/>
      <x:c r="D778" s="112"/>
      <x:c r="E778" s="113"/>
      <x:c r="F778" s="111"/>
      <x:c r="G778" s="111"/>
      <x:c r="H778" s="114"/>
      <x:c r="I778" s="115"/>
      <x:c r="J778" s="92"/>
      <x:c r="K778" s="92"/>
      <x:c r="L778" s="92"/>
      <x:c r="M778" s="92"/>
      <x:c r="N778" s="92"/>
      <x:c r="O778" s="92"/>
      <x:c r="P778" s="92"/>
      <x:c r="Q778" s="92"/>
      <x:c r="R778" s="92"/>
      <x:c r="S778" s="92"/>
      <x:c r="T778" s="92"/>
      <x:c r="U778" s="92"/>
      <x:c r="V778" s="92"/>
      <x:c r="W778" s="92"/>
      <x:c r="X778" s="92"/>
      <x:c r="Y778" s="92"/>
      <x:c r="Z778" s="92"/>
    </x:row>
    <x:row r="779" spans="1:26">
      <x:c r="A779" s="106"/>
      <x:c r="B779" s="106"/>
      <x:c r="C779" s="106"/>
      <x:c r="D779" s="107"/>
      <x:c r="E779" s="108"/>
      <x:c r="F779" s="106"/>
      <x:c r="G779" s="106"/>
      <x:c r="H779" s="109"/>
      <x:c r="I779" s="110"/>
      <x:c r="J779" s="100"/>
      <x:c r="K779" s="100"/>
      <x:c r="L779" s="100"/>
      <x:c r="M779" s="100"/>
      <x:c r="N779" s="100"/>
      <x:c r="O779" s="100"/>
      <x:c r="P779" s="100"/>
      <x:c r="Q779" s="100"/>
      <x:c r="R779" s="100"/>
      <x:c r="S779" s="100"/>
      <x:c r="T779" s="100"/>
      <x:c r="U779" s="100"/>
      <x:c r="V779" s="100"/>
      <x:c r="W779" s="100"/>
      <x:c r="X779" s="100"/>
      <x:c r="Y779" s="100"/>
      <x:c r="Z779" s="100"/>
    </x:row>
    <x:row r="780" spans="1:26">
      <x:c r="A780" s="111"/>
      <x:c r="B780" s="111"/>
      <x:c r="C780" s="111"/>
      <x:c r="D780" s="112"/>
      <x:c r="E780" s="113"/>
      <x:c r="F780" s="111"/>
      <x:c r="G780" s="111"/>
      <x:c r="H780" s="114"/>
      <x:c r="I780" s="115"/>
      <x:c r="J780" s="92"/>
      <x:c r="K780" s="92"/>
      <x:c r="L780" s="92"/>
      <x:c r="M780" s="92"/>
      <x:c r="N780" s="92"/>
      <x:c r="O780" s="92"/>
      <x:c r="P780" s="92"/>
      <x:c r="Q780" s="92"/>
      <x:c r="R780" s="92"/>
      <x:c r="S780" s="92"/>
      <x:c r="T780" s="92"/>
      <x:c r="U780" s="92"/>
      <x:c r="V780" s="92"/>
      <x:c r="W780" s="92"/>
      <x:c r="X780" s="92"/>
      <x:c r="Y780" s="92"/>
      <x:c r="Z780" s="92"/>
    </x:row>
    <x:row r="781" spans="1:26">
      <x:c r="A781" s="106"/>
      <x:c r="B781" s="106"/>
      <x:c r="C781" s="106"/>
      <x:c r="D781" s="107"/>
      <x:c r="E781" s="108"/>
      <x:c r="F781" s="106"/>
      <x:c r="G781" s="106"/>
      <x:c r="H781" s="109"/>
      <x:c r="I781" s="110"/>
      <x:c r="J781" s="100"/>
      <x:c r="K781" s="100"/>
      <x:c r="L781" s="100"/>
      <x:c r="M781" s="100"/>
      <x:c r="N781" s="100"/>
      <x:c r="O781" s="100"/>
      <x:c r="P781" s="100"/>
      <x:c r="Q781" s="100"/>
      <x:c r="R781" s="100"/>
      <x:c r="S781" s="100"/>
      <x:c r="T781" s="100"/>
      <x:c r="U781" s="100"/>
      <x:c r="V781" s="100"/>
      <x:c r="W781" s="100"/>
      <x:c r="X781" s="100"/>
      <x:c r="Y781" s="100"/>
      <x:c r="Z781" s="100"/>
    </x:row>
    <x:row r="782" spans="1:26">
      <x:c r="A782" s="111"/>
      <x:c r="B782" s="111"/>
      <x:c r="C782" s="111"/>
      <x:c r="D782" s="112"/>
      <x:c r="E782" s="113"/>
      <x:c r="F782" s="111"/>
      <x:c r="G782" s="111"/>
      <x:c r="H782" s="114"/>
      <x:c r="I782" s="115"/>
      <x:c r="J782" s="92"/>
      <x:c r="K782" s="92"/>
      <x:c r="L782" s="92"/>
      <x:c r="M782" s="92"/>
      <x:c r="N782" s="92"/>
      <x:c r="O782" s="92"/>
      <x:c r="P782" s="92"/>
      <x:c r="Q782" s="92"/>
      <x:c r="R782" s="92"/>
      <x:c r="S782" s="92"/>
      <x:c r="T782" s="92"/>
      <x:c r="U782" s="92"/>
      <x:c r="V782" s="92"/>
      <x:c r="W782" s="92"/>
      <x:c r="X782" s="92"/>
      <x:c r="Y782" s="92"/>
      <x:c r="Z782" s="92"/>
    </x:row>
    <x:row r="783" spans="1:26">
      <x:c r="A783" s="106"/>
      <x:c r="B783" s="106"/>
      <x:c r="C783" s="106"/>
      <x:c r="D783" s="107"/>
      <x:c r="E783" s="108"/>
      <x:c r="F783" s="106"/>
      <x:c r="G783" s="106"/>
      <x:c r="H783" s="109"/>
      <x:c r="I783" s="110"/>
      <x:c r="J783" s="100"/>
      <x:c r="K783" s="100"/>
      <x:c r="L783" s="100"/>
      <x:c r="M783" s="100"/>
      <x:c r="N783" s="100"/>
      <x:c r="O783" s="100"/>
      <x:c r="P783" s="100"/>
      <x:c r="Q783" s="100"/>
      <x:c r="R783" s="100"/>
      <x:c r="S783" s="100"/>
      <x:c r="T783" s="100"/>
      <x:c r="U783" s="100"/>
      <x:c r="V783" s="100"/>
      <x:c r="W783" s="100"/>
      <x:c r="X783" s="100"/>
      <x:c r="Y783" s="100"/>
      <x:c r="Z783" s="100"/>
    </x:row>
    <x:row r="784" spans="1:26">
      <x:c r="A784" s="111"/>
      <x:c r="B784" s="111"/>
      <x:c r="C784" s="111"/>
      <x:c r="D784" s="112"/>
      <x:c r="E784" s="113"/>
      <x:c r="F784" s="111"/>
      <x:c r="G784" s="111"/>
      <x:c r="H784" s="114"/>
      <x:c r="I784" s="115"/>
      <x:c r="J784" s="92"/>
      <x:c r="K784" s="92"/>
      <x:c r="L784" s="92"/>
      <x:c r="M784" s="92"/>
      <x:c r="N784" s="92"/>
      <x:c r="O784" s="92"/>
      <x:c r="P784" s="92"/>
      <x:c r="Q784" s="92"/>
      <x:c r="R784" s="92"/>
      <x:c r="S784" s="92"/>
      <x:c r="T784" s="92"/>
      <x:c r="U784" s="92"/>
      <x:c r="V784" s="92"/>
      <x:c r="W784" s="92"/>
      <x:c r="X784" s="92"/>
      <x:c r="Y784" s="92"/>
      <x:c r="Z784" s="92"/>
    </x:row>
    <x:row r="785" spans="1:26">
      <x:c r="A785" s="106"/>
      <x:c r="B785" s="106"/>
      <x:c r="C785" s="106"/>
      <x:c r="D785" s="107"/>
      <x:c r="E785" s="108"/>
      <x:c r="F785" s="106"/>
      <x:c r="G785" s="106"/>
      <x:c r="H785" s="109"/>
      <x:c r="I785" s="110"/>
      <x:c r="J785" s="100"/>
      <x:c r="K785" s="100"/>
      <x:c r="L785" s="100"/>
      <x:c r="M785" s="100"/>
      <x:c r="N785" s="100"/>
      <x:c r="O785" s="100"/>
      <x:c r="P785" s="100"/>
      <x:c r="Q785" s="100"/>
      <x:c r="R785" s="100"/>
      <x:c r="S785" s="100"/>
      <x:c r="T785" s="100"/>
      <x:c r="U785" s="100"/>
      <x:c r="V785" s="100"/>
      <x:c r="W785" s="100"/>
      <x:c r="X785" s="100"/>
      <x:c r="Y785" s="100"/>
      <x:c r="Z785" s="100"/>
    </x:row>
    <x:row r="786" spans="1:26">
      <x:c r="A786" s="111"/>
      <x:c r="B786" s="111"/>
      <x:c r="C786" s="111"/>
      <x:c r="D786" s="112"/>
      <x:c r="E786" s="113"/>
      <x:c r="F786" s="111"/>
      <x:c r="G786" s="111"/>
      <x:c r="H786" s="114"/>
      <x:c r="I786" s="115"/>
      <x:c r="J786" s="92"/>
      <x:c r="K786" s="92"/>
      <x:c r="L786" s="92"/>
      <x:c r="M786" s="92"/>
      <x:c r="N786" s="92"/>
      <x:c r="O786" s="92"/>
      <x:c r="P786" s="92"/>
      <x:c r="Q786" s="92"/>
      <x:c r="R786" s="92"/>
      <x:c r="S786" s="92"/>
      <x:c r="T786" s="92"/>
      <x:c r="U786" s="92"/>
      <x:c r="V786" s="92"/>
      <x:c r="W786" s="92"/>
      <x:c r="X786" s="92"/>
      <x:c r="Y786" s="92"/>
      <x:c r="Z786" s="92"/>
    </x:row>
    <x:row r="787" spans="1:26">
      <x:c r="A787" s="106"/>
      <x:c r="B787" s="106"/>
      <x:c r="C787" s="106"/>
      <x:c r="D787" s="107"/>
      <x:c r="E787" s="108"/>
      <x:c r="F787" s="106"/>
      <x:c r="G787" s="106"/>
      <x:c r="H787" s="109"/>
      <x:c r="I787" s="110"/>
      <x:c r="J787" s="100"/>
      <x:c r="K787" s="100"/>
      <x:c r="L787" s="100"/>
      <x:c r="M787" s="100"/>
      <x:c r="N787" s="100"/>
      <x:c r="O787" s="100"/>
      <x:c r="P787" s="100"/>
      <x:c r="Q787" s="100"/>
      <x:c r="R787" s="100"/>
      <x:c r="S787" s="100"/>
      <x:c r="T787" s="100"/>
      <x:c r="U787" s="100"/>
      <x:c r="V787" s="100"/>
      <x:c r="W787" s="100"/>
      <x:c r="X787" s="100"/>
      <x:c r="Y787" s="100"/>
      <x:c r="Z787" s="100"/>
    </x:row>
    <x:row r="788" spans="1:26">
      <x:c r="A788" s="111"/>
      <x:c r="B788" s="111"/>
      <x:c r="C788" s="111"/>
      <x:c r="D788" s="112"/>
      <x:c r="E788" s="113"/>
      <x:c r="F788" s="111"/>
      <x:c r="G788" s="111"/>
      <x:c r="H788" s="114"/>
      <x:c r="I788" s="115"/>
      <x:c r="J788" s="92"/>
      <x:c r="K788" s="92"/>
      <x:c r="L788" s="92"/>
      <x:c r="M788" s="92"/>
      <x:c r="N788" s="92"/>
      <x:c r="O788" s="92"/>
      <x:c r="P788" s="92"/>
      <x:c r="Q788" s="92"/>
      <x:c r="R788" s="92"/>
      <x:c r="S788" s="92"/>
      <x:c r="T788" s="92"/>
      <x:c r="U788" s="92"/>
      <x:c r="V788" s="92"/>
      <x:c r="W788" s="92"/>
      <x:c r="X788" s="92"/>
      <x:c r="Y788" s="92"/>
      <x:c r="Z788" s="92"/>
    </x:row>
    <x:row r="789" spans="1:26">
      <x:c r="A789" s="106"/>
      <x:c r="B789" s="106"/>
      <x:c r="C789" s="106"/>
      <x:c r="D789" s="107"/>
      <x:c r="E789" s="108"/>
      <x:c r="F789" s="106"/>
      <x:c r="G789" s="106"/>
      <x:c r="H789" s="109"/>
      <x:c r="I789" s="110"/>
      <x:c r="J789" s="100"/>
      <x:c r="K789" s="100"/>
      <x:c r="L789" s="100"/>
      <x:c r="M789" s="100"/>
      <x:c r="N789" s="100"/>
      <x:c r="O789" s="100"/>
      <x:c r="P789" s="100"/>
      <x:c r="Q789" s="100"/>
      <x:c r="R789" s="100"/>
      <x:c r="S789" s="100"/>
      <x:c r="T789" s="100"/>
      <x:c r="U789" s="100"/>
      <x:c r="V789" s="100"/>
      <x:c r="W789" s="100"/>
      <x:c r="X789" s="100"/>
      <x:c r="Y789" s="100"/>
      <x:c r="Z789" s="100"/>
    </x:row>
    <x:row r="790" spans="1:26">
      <x:c r="A790" s="111"/>
      <x:c r="B790" s="111"/>
      <x:c r="C790" s="111"/>
      <x:c r="D790" s="112"/>
      <x:c r="E790" s="113"/>
      <x:c r="F790" s="111"/>
      <x:c r="G790" s="111"/>
      <x:c r="H790" s="114"/>
      <x:c r="I790" s="115"/>
      <x:c r="J790" s="92"/>
      <x:c r="K790" s="92"/>
      <x:c r="L790" s="92"/>
      <x:c r="M790" s="92"/>
      <x:c r="N790" s="92"/>
      <x:c r="O790" s="92"/>
      <x:c r="P790" s="92"/>
      <x:c r="Q790" s="92"/>
      <x:c r="R790" s="92"/>
      <x:c r="S790" s="92"/>
      <x:c r="T790" s="92"/>
      <x:c r="U790" s="92"/>
      <x:c r="V790" s="92"/>
      <x:c r="W790" s="92"/>
      <x:c r="X790" s="92"/>
      <x:c r="Y790" s="92"/>
      <x:c r="Z790" s="92"/>
    </x:row>
    <x:row r="791" spans="1:26">
      <x:c r="A791" s="106"/>
      <x:c r="B791" s="106"/>
      <x:c r="C791" s="106"/>
      <x:c r="D791" s="107"/>
      <x:c r="E791" s="108"/>
      <x:c r="F791" s="106"/>
      <x:c r="G791" s="106"/>
      <x:c r="H791" s="109"/>
      <x:c r="I791" s="110"/>
      <x:c r="J791" s="100"/>
      <x:c r="K791" s="100"/>
      <x:c r="L791" s="100"/>
      <x:c r="M791" s="100"/>
      <x:c r="N791" s="100"/>
      <x:c r="O791" s="100"/>
      <x:c r="P791" s="100"/>
      <x:c r="Q791" s="100"/>
      <x:c r="R791" s="100"/>
      <x:c r="S791" s="100"/>
      <x:c r="T791" s="100"/>
      <x:c r="U791" s="100"/>
      <x:c r="V791" s="100"/>
      <x:c r="W791" s="100"/>
      <x:c r="X791" s="100"/>
      <x:c r="Y791" s="100"/>
      <x:c r="Z791" s="100"/>
    </x:row>
    <x:row r="792" spans="1:26">
      <x:c r="A792" s="111"/>
      <x:c r="B792" s="111"/>
      <x:c r="C792" s="111"/>
      <x:c r="D792" s="112"/>
      <x:c r="E792" s="113"/>
      <x:c r="F792" s="111"/>
      <x:c r="G792" s="111"/>
      <x:c r="H792" s="114"/>
      <x:c r="I792" s="115"/>
      <x:c r="J792" s="92"/>
      <x:c r="K792" s="92"/>
      <x:c r="L792" s="92"/>
      <x:c r="M792" s="92"/>
      <x:c r="N792" s="92"/>
      <x:c r="O792" s="92"/>
      <x:c r="P792" s="92"/>
      <x:c r="Q792" s="92"/>
      <x:c r="R792" s="92"/>
      <x:c r="S792" s="92"/>
      <x:c r="T792" s="92"/>
      <x:c r="U792" s="92"/>
      <x:c r="V792" s="92"/>
      <x:c r="W792" s="92"/>
      <x:c r="X792" s="92"/>
      <x:c r="Y792" s="92"/>
      <x:c r="Z792" s="92"/>
    </x:row>
    <x:row r="793" spans="1:26">
      <x:c r="A793" s="106"/>
      <x:c r="B793" s="106"/>
      <x:c r="C793" s="106"/>
      <x:c r="D793" s="107"/>
      <x:c r="E793" s="108"/>
      <x:c r="F793" s="106"/>
      <x:c r="G793" s="106"/>
      <x:c r="H793" s="109"/>
      <x:c r="I793" s="110"/>
      <x:c r="J793" s="100"/>
      <x:c r="K793" s="100"/>
      <x:c r="L793" s="100"/>
      <x:c r="M793" s="100"/>
      <x:c r="N793" s="100"/>
      <x:c r="O793" s="100"/>
      <x:c r="P793" s="100"/>
      <x:c r="Q793" s="100"/>
      <x:c r="R793" s="100"/>
      <x:c r="S793" s="100"/>
      <x:c r="T793" s="100"/>
      <x:c r="U793" s="100"/>
      <x:c r="V793" s="100"/>
      <x:c r="W793" s="100"/>
      <x:c r="X793" s="100"/>
      <x:c r="Y793" s="100"/>
      <x:c r="Z793" s="100"/>
    </x:row>
    <x:row r="794" spans="1:26">
      <x:c r="A794" s="111"/>
      <x:c r="B794" s="111"/>
      <x:c r="C794" s="111"/>
      <x:c r="D794" s="112"/>
      <x:c r="E794" s="113"/>
      <x:c r="F794" s="111"/>
      <x:c r="G794" s="111"/>
      <x:c r="H794" s="114"/>
      <x:c r="I794" s="115"/>
      <x:c r="J794" s="92"/>
      <x:c r="K794" s="92"/>
      <x:c r="L794" s="92"/>
      <x:c r="M794" s="92"/>
      <x:c r="N794" s="92"/>
      <x:c r="O794" s="92"/>
      <x:c r="P794" s="92"/>
      <x:c r="Q794" s="92"/>
      <x:c r="R794" s="92"/>
      <x:c r="S794" s="92"/>
      <x:c r="T794" s="92"/>
      <x:c r="U794" s="92"/>
      <x:c r="V794" s="92"/>
      <x:c r="W794" s="92"/>
      <x:c r="X794" s="92"/>
      <x:c r="Y794" s="92"/>
      <x:c r="Z794" s="92"/>
    </x:row>
    <x:row r="795" spans="1:26">
      <x:c r="A795" s="106"/>
      <x:c r="B795" s="106"/>
      <x:c r="C795" s="106"/>
      <x:c r="D795" s="107"/>
      <x:c r="E795" s="108"/>
      <x:c r="F795" s="106"/>
      <x:c r="G795" s="106"/>
      <x:c r="H795" s="109"/>
      <x:c r="I795" s="110"/>
      <x:c r="J795" s="100"/>
      <x:c r="K795" s="100"/>
      <x:c r="L795" s="100"/>
      <x:c r="M795" s="100"/>
      <x:c r="N795" s="100"/>
      <x:c r="O795" s="100"/>
      <x:c r="P795" s="100"/>
      <x:c r="Q795" s="100"/>
      <x:c r="R795" s="100"/>
      <x:c r="S795" s="100"/>
      <x:c r="T795" s="100"/>
      <x:c r="U795" s="100"/>
      <x:c r="V795" s="100"/>
      <x:c r="W795" s="100"/>
      <x:c r="X795" s="100"/>
      <x:c r="Y795" s="100"/>
      <x:c r="Z795" s="100"/>
    </x:row>
    <x:row r="796" spans="1:26">
      <x:c r="A796" s="111"/>
      <x:c r="B796" s="111"/>
      <x:c r="C796" s="111"/>
      <x:c r="D796" s="112"/>
      <x:c r="E796" s="113"/>
      <x:c r="F796" s="111"/>
      <x:c r="G796" s="111"/>
      <x:c r="H796" s="114"/>
      <x:c r="I796" s="115"/>
      <x:c r="J796" s="92"/>
      <x:c r="K796" s="92"/>
      <x:c r="L796" s="92"/>
      <x:c r="M796" s="92"/>
      <x:c r="N796" s="92"/>
      <x:c r="O796" s="92"/>
      <x:c r="P796" s="92"/>
      <x:c r="Q796" s="92"/>
      <x:c r="R796" s="92"/>
      <x:c r="S796" s="92"/>
      <x:c r="T796" s="92"/>
      <x:c r="U796" s="92"/>
      <x:c r="V796" s="92"/>
      <x:c r="W796" s="92"/>
      <x:c r="X796" s="92"/>
      <x:c r="Y796" s="92"/>
      <x:c r="Z796" s="92"/>
    </x:row>
    <x:row r="797" spans="1:26">
      <x:c r="A797" s="106"/>
      <x:c r="B797" s="106"/>
      <x:c r="C797" s="106"/>
      <x:c r="D797" s="107"/>
      <x:c r="E797" s="108"/>
      <x:c r="F797" s="106"/>
      <x:c r="G797" s="106"/>
      <x:c r="H797" s="109"/>
      <x:c r="I797" s="110"/>
      <x:c r="J797" s="100"/>
      <x:c r="K797" s="100"/>
      <x:c r="L797" s="100"/>
      <x:c r="M797" s="100"/>
      <x:c r="N797" s="100"/>
      <x:c r="O797" s="100"/>
      <x:c r="P797" s="100"/>
      <x:c r="Q797" s="100"/>
      <x:c r="R797" s="100"/>
      <x:c r="S797" s="100"/>
      <x:c r="T797" s="100"/>
      <x:c r="U797" s="100"/>
      <x:c r="V797" s="100"/>
      <x:c r="W797" s="100"/>
      <x:c r="X797" s="100"/>
      <x:c r="Y797" s="100"/>
      <x:c r="Z797" s="100"/>
    </x:row>
    <x:row r="798" spans="1:26">
      <x:c r="A798" s="111"/>
      <x:c r="B798" s="111"/>
      <x:c r="C798" s="111"/>
      <x:c r="D798" s="112"/>
      <x:c r="E798" s="113"/>
      <x:c r="F798" s="111"/>
      <x:c r="G798" s="111"/>
      <x:c r="H798" s="114"/>
      <x:c r="I798" s="115"/>
      <x:c r="J798" s="92"/>
      <x:c r="K798" s="92"/>
      <x:c r="L798" s="92"/>
      <x:c r="M798" s="92"/>
      <x:c r="N798" s="92"/>
      <x:c r="O798" s="92"/>
      <x:c r="P798" s="92"/>
      <x:c r="Q798" s="92"/>
      <x:c r="R798" s="92"/>
      <x:c r="S798" s="92"/>
      <x:c r="T798" s="92"/>
      <x:c r="U798" s="92"/>
      <x:c r="V798" s="92"/>
      <x:c r="W798" s="92"/>
      <x:c r="X798" s="92"/>
      <x:c r="Y798" s="92"/>
      <x:c r="Z798" s="92"/>
    </x:row>
    <x:row r="799" spans="1:26">
      <x:c r="A799" s="106"/>
      <x:c r="B799" s="106"/>
      <x:c r="C799" s="106"/>
      <x:c r="D799" s="107"/>
      <x:c r="E799" s="108"/>
      <x:c r="F799" s="106"/>
      <x:c r="G799" s="106"/>
      <x:c r="H799" s="109"/>
      <x:c r="I799" s="110"/>
      <x:c r="J799" s="100"/>
      <x:c r="K799" s="100"/>
      <x:c r="L799" s="100"/>
      <x:c r="M799" s="100"/>
      <x:c r="N799" s="100"/>
      <x:c r="O799" s="100"/>
      <x:c r="P799" s="100"/>
      <x:c r="Q799" s="100"/>
      <x:c r="R799" s="100"/>
      <x:c r="S799" s="100"/>
      <x:c r="T799" s="100"/>
      <x:c r="U799" s="100"/>
      <x:c r="V799" s="100"/>
      <x:c r="W799" s="100"/>
      <x:c r="X799" s="100"/>
      <x:c r="Y799" s="100"/>
      <x:c r="Z799" s="100"/>
    </x:row>
    <x:row r="800" spans="1:26">
      <x:c r="A800" s="111"/>
      <x:c r="B800" s="111"/>
      <x:c r="C800" s="111"/>
      <x:c r="D800" s="112"/>
      <x:c r="E800" s="113"/>
      <x:c r="F800" s="111"/>
      <x:c r="G800" s="111"/>
      <x:c r="H800" s="114"/>
      <x:c r="I800" s="115"/>
      <x:c r="J800" s="92"/>
      <x:c r="K800" s="92"/>
      <x:c r="L800" s="92"/>
      <x:c r="M800" s="92"/>
      <x:c r="N800" s="92"/>
      <x:c r="O800" s="92"/>
      <x:c r="P800" s="92"/>
      <x:c r="Q800" s="92"/>
      <x:c r="R800" s="92"/>
      <x:c r="S800" s="92"/>
      <x:c r="T800" s="92"/>
      <x:c r="U800" s="92"/>
      <x:c r="V800" s="92"/>
      <x:c r="W800" s="92"/>
      <x:c r="X800" s="92"/>
      <x:c r="Y800" s="92"/>
      <x:c r="Z800" s="92"/>
    </x:row>
    <x:row r="801" spans="1:26">
      <x:c r="A801" s="106"/>
      <x:c r="B801" s="106"/>
      <x:c r="C801" s="106"/>
      <x:c r="D801" s="107"/>
      <x:c r="E801" s="108"/>
      <x:c r="F801" s="106"/>
      <x:c r="G801" s="106"/>
      <x:c r="H801" s="109"/>
      <x:c r="I801" s="110"/>
      <x:c r="J801" s="100"/>
      <x:c r="K801" s="100"/>
      <x:c r="L801" s="100"/>
      <x:c r="M801" s="100"/>
      <x:c r="N801" s="100"/>
      <x:c r="O801" s="100"/>
      <x:c r="P801" s="100"/>
      <x:c r="Q801" s="100"/>
      <x:c r="R801" s="100"/>
      <x:c r="S801" s="100"/>
      <x:c r="T801" s="100"/>
      <x:c r="U801" s="100"/>
      <x:c r="V801" s="100"/>
      <x:c r="W801" s="100"/>
      <x:c r="X801" s="100"/>
      <x:c r="Y801" s="100"/>
      <x:c r="Z801" s="100"/>
    </x:row>
    <x:row r="802" spans="1:26">
      <x:c r="A802" s="111"/>
      <x:c r="B802" s="111"/>
      <x:c r="C802" s="111"/>
      <x:c r="D802" s="112"/>
      <x:c r="E802" s="113"/>
      <x:c r="F802" s="111"/>
      <x:c r="G802" s="111"/>
      <x:c r="H802" s="114"/>
      <x:c r="I802" s="115"/>
      <x:c r="J802" s="92"/>
      <x:c r="K802" s="92"/>
      <x:c r="L802" s="92"/>
      <x:c r="M802" s="92"/>
      <x:c r="N802" s="92"/>
      <x:c r="O802" s="92"/>
      <x:c r="P802" s="92"/>
      <x:c r="Q802" s="92"/>
      <x:c r="R802" s="92"/>
      <x:c r="S802" s="92"/>
      <x:c r="T802" s="92"/>
      <x:c r="U802" s="92"/>
      <x:c r="V802" s="92"/>
      <x:c r="W802" s="92"/>
      <x:c r="X802" s="92"/>
      <x:c r="Y802" s="92"/>
      <x:c r="Z802" s="92"/>
    </x:row>
    <x:row r="803" spans="1:26">
      <x:c r="A803" s="106"/>
      <x:c r="B803" s="106"/>
      <x:c r="C803" s="106"/>
      <x:c r="D803" s="107"/>
      <x:c r="E803" s="108"/>
      <x:c r="F803" s="106"/>
      <x:c r="G803" s="106"/>
      <x:c r="H803" s="109"/>
      <x:c r="I803" s="110"/>
      <x:c r="J803" s="100"/>
      <x:c r="K803" s="100"/>
      <x:c r="L803" s="100"/>
      <x:c r="M803" s="100"/>
      <x:c r="N803" s="100"/>
      <x:c r="O803" s="100"/>
      <x:c r="P803" s="100"/>
      <x:c r="Q803" s="100"/>
      <x:c r="R803" s="100"/>
      <x:c r="S803" s="100"/>
      <x:c r="T803" s="100"/>
      <x:c r="U803" s="100"/>
      <x:c r="V803" s="100"/>
      <x:c r="W803" s="100"/>
      <x:c r="X803" s="100"/>
      <x:c r="Y803" s="100"/>
      <x:c r="Z803" s="100"/>
    </x:row>
    <x:row r="804" spans="1:26">
      <x:c r="A804" s="111"/>
      <x:c r="B804" s="111"/>
      <x:c r="C804" s="111"/>
      <x:c r="D804" s="112"/>
      <x:c r="E804" s="113"/>
      <x:c r="F804" s="111"/>
      <x:c r="G804" s="111"/>
      <x:c r="H804" s="114"/>
      <x:c r="I804" s="115"/>
      <x:c r="J804" s="92"/>
      <x:c r="K804" s="92"/>
      <x:c r="L804" s="92"/>
      <x:c r="M804" s="92"/>
      <x:c r="N804" s="92"/>
      <x:c r="O804" s="92"/>
      <x:c r="P804" s="92"/>
      <x:c r="Q804" s="92"/>
      <x:c r="R804" s="92"/>
      <x:c r="S804" s="92"/>
      <x:c r="T804" s="92"/>
      <x:c r="U804" s="92"/>
      <x:c r="V804" s="92"/>
      <x:c r="W804" s="92"/>
      <x:c r="X804" s="92"/>
      <x:c r="Y804" s="92"/>
      <x:c r="Z804" s="92"/>
    </x:row>
    <x:row r="805" spans="1:26">
      <x:c r="A805" s="106"/>
      <x:c r="B805" s="106"/>
      <x:c r="C805" s="106"/>
      <x:c r="D805" s="107"/>
      <x:c r="E805" s="108"/>
      <x:c r="F805" s="106"/>
      <x:c r="G805" s="106"/>
      <x:c r="H805" s="109"/>
      <x:c r="I805" s="110"/>
      <x:c r="J805" s="100"/>
      <x:c r="K805" s="100"/>
      <x:c r="L805" s="100"/>
      <x:c r="M805" s="100"/>
      <x:c r="N805" s="100"/>
      <x:c r="O805" s="100"/>
      <x:c r="P805" s="100"/>
      <x:c r="Q805" s="100"/>
      <x:c r="R805" s="100"/>
      <x:c r="S805" s="100"/>
      <x:c r="T805" s="100"/>
      <x:c r="U805" s="100"/>
      <x:c r="V805" s="100"/>
      <x:c r="W805" s="100"/>
      <x:c r="X805" s="100"/>
      <x:c r="Y805" s="100"/>
      <x:c r="Z805" s="100"/>
    </x:row>
    <x:row r="806" spans="1:26">
      <x:c r="A806" s="111"/>
      <x:c r="B806" s="111"/>
      <x:c r="C806" s="111"/>
      <x:c r="D806" s="112"/>
      <x:c r="E806" s="113"/>
      <x:c r="F806" s="111"/>
      <x:c r="G806" s="111"/>
      <x:c r="H806" s="114"/>
      <x:c r="I806" s="115"/>
      <x:c r="J806" s="92"/>
      <x:c r="K806" s="92"/>
      <x:c r="L806" s="92"/>
      <x:c r="M806" s="92"/>
      <x:c r="N806" s="92"/>
      <x:c r="O806" s="92"/>
      <x:c r="P806" s="92"/>
      <x:c r="Q806" s="92"/>
      <x:c r="R806" s="92"/>
      <x:c r="S806" s="92"/>
      <x:c r="T806" s="92"/>
      <x:c r="U806" s="92"/>
      <x:c r="V806" s="92"/>
      <x:c r="W806" s="92"/>
      <x:c r="X806" s="92"/>
      <x:c r="Y806" s="92"/>
      <x:c r="Z806" s="92"/>
    </x:row>
    <x:row r="807" spans="1:26">
      <x:c r="A807" s="106"/>
      <x:c r="B807" s="106"/>
      <x:c r="C807" s="106"/>
      <x:c r="D807" s="107"/>
      <x:c r="E807" s="108"/>
      <x:c r="F807" s="106"/>
      <x:c r="G807" s="106"/>
      <x:c r="H807" s="109"/>
      <x:c r="I807" s="110"/>
      <x:c r="J807" s="100"/>
      <x:c r="K807" s="100"/>
      <x:c r="L807" s="100"/>
      <x:c r="M807" s="100"/>
      <x:c r="N807" s="100"/>
      <x:c r="O807" s="100"/>
      <x:c r="P807" s="100"/>
      <x:c r="Q807" s="100"/>
      <x:c r="R807" s="100"/>
      <x:c r="S807" s="100"/>
      <x:c r="T807" s="100"/>
      <x:c r="U807" s="100"/>
      <x:c r="V807" s="100"/>
      <x:c r="W807" s="100"/>
      <x:c r="X807" s="100"/>
      <x:c r="Y807" s="100"/>
      <x:c r="Z807" s="100"/>
    </x:row>
    <x:row r="808" spans="1:26">
      <x:c r="A808" s="111"/>
      <x:c r="B808" s="111"/>
      <x:c r="C808" s="111"/>
      <x:c r="D808" s="112"/>
      <x:c r="E808" s="113"/>
      <x:c r="F808" s="111"/>
      <x:c r="G808" s="111"/>
      <x:c r="H808" s="114"/>
      <x:c r="I808" s="115"/>
      <x:c r="J808" s="92"/>
      <x:c r="K808" s="92"/>
      <x:c r="L808" s="92"/>
      <x:c r="M808" s="92"/>
      <x:c r="N808" s="92"/>
      <x:c r="O808" s="92"/>
      <x:c r="P808" s="92"/>
      <x:c r="Q808" s="92"/>
      <x:c r="R808" s="92"/>
      <x:c r="S808" s="92"/>
      <x:c r="T808" s="92"/>
      <x:c r="U808" s="92"/>
      <x:c r="V808" s="92"/>
      <x:c r="W808" s="92"/>
      <x:c r="X808" s="92"/>
      <x:c r="Y808" s="92"/>
      <x:c r="Z808" s="92"/>
    </x:row>
    <x:row r="809" spans="1:26">
      <x:c r="A809" s="106"/>
      <x:c r="B809" s="106"/>
      <x:c r="C809" s="106"/>
      <x:c r="D809" s="107"/>
      <x:c r="E809" s="108"/>
      <x:c r="F809" s="106"/>
      <x:c r="G809" s="106"/>
      <x:c r="H809" s="109"/>
      <x:c r="I809" s="110"/>
      <x:c r="J809" s="100"/>
      <x:c r="K809" s="100"/>
      <x:c r="L809" s="100"/>
      <x:c r="M809" s="100"/>
      <x:c r="N809" s="100"/>
      <x:c r="O809" s="100"/>
      <x:c r="P809" s="100"/>
      <x:c r="Q809" s="100"/>
      <x:c r="R809" s="100"/>
      <x:c r="S809" s="100"/>
      <x:c r="T809" s="100"/>
      <x:c r="U809" s="100"/>
      <x:c r="V809" s="100"/>
      <x:c r="W809" s="100"/>
      <x:c r="X809" s="100"/>
      <x:c r="Y809" s="100"/>
      <x:c r="Z809" s="100"/>
    </x:row>
    <x:row r="810" spans="1:26">
      <x:c r="A810" s="111"/>
      <x:c r="B810" s="111"/>
      <x:c r="C810" s="111"/>
      <x:c r="D810" s="112"/>
      <x:c r="E810" s="113"/>
      <x:c r="F810" s="111"/>
      <x:c r="G810" s="111"/>
      <x:c r="H810" s="114"/>
      <x:c r="I810" s="115"/>
      <x:c r="J810" s="92"/>
      <x:c r="K810" s="92"/>
      <x:c r="L810" s="92"/>
      <x:c r="M810" s="92"/>
      <x:c r="N810" s="92"/>
      <x:c r="O810" s="92"/>
      <x:c r="P810" s="92"/>
      <x:c r="Q810" s="92"/>
      <x:c r="R810" s="92"/>
      <x:c r="S810" s="92"/>
      <x:c r="T810" s="92"/>
      <x:c r="U810" s="92"/>
      <x:c r="V810" s="92"/>
      <x:c r="W810" s="92"/>
      <x:c r="X810" s="92"/>
      <x:c r="Y810" s="92"/>
      <x:c r="Z810" s="92"/>
    </x:row>
    <x:row r="811" spans="1:26">
      <x:c r="A811" s="106"/>
      <x:c r="B811" s="106"/>
      <x:c r="C811" s="106"/>
      <x:c r="D811" s="107"/>
      <x:c r="E811" s="108"/>
      <x:c r="F811" s="106"/>
      <x:c r="G811" s="106"/>
      <x:c r="H811" s="109"/>
      <x:c r="I811" s="110"/>
      <x:c r="J811" s="100"/>
      <x:c r="K811" s="100"/>
      <x:c r="L811" s="100"/>
      <x:c r="M811" s="100"/>
      <x:c r="N811" s="100"/>
      <x:c r="O811" s="100"/>
      <x:c r="P811" s="100"/>
      <x:c r="Q811" s="100"/>
      <x:c r="R811" s="100"/>
      <x:c r="S811" s="100"/>
      <x:c r="T811" s="100"/>
      <x:c r="U811" s="100"/>
      <x:c r="V811" s="100"/>
      <x:c r="W811" s="100"/>
      <x:c r="X811" s="100"/>
      <x:c r="Y811" s="100"/>
      <x:c r="Z811" s="100"/>
    </x:row>
    <x:row r="812" spans="1:26">
      <x:c r="A812" s="111"/>
      <x:c r="B812" s="111"/>
      <x:c r="C812" s="111"/>
      <x:c r="D812" s="112"/>
      <x:c r="E812" s="113"/>
      <x:c r="F812" s="111"/>
      <x:c r="G812" s="111"/>
      <x:c r="H812" s="114"/>
      <x:c r="I812" s="115"/>
      <x:c r="J812" s="92"/>
      <x:c r="K812" s="92"/>
      <x:c r="L812" s="92"/>
      <x:c r="M812" s="92"/>
      <x:c r="N812" s="92"/>
      <x:c r="O812" s="92"/>
      <x:c r="P812" s="92"/>
      <x:c r="Q812" s="92"/>
      <x:c r="R812" s="92"/>
      <x:c r="S812" s="92"/>
      <x:c r="T812" s="92"/>
      <x:c r="U812" s="92"/>
      <x:c r="V812" s="92"/>
      <x:c r="W812" s="92"/>
      <x:c r="X812" s="92"/>
      <x:c r="Y812" s="92"/>
      <x:c r="Z812" s="92"/>
    </x:row>
    <x:row r="813" spans="1:26">
      <x:c r="A813" s="106"/>
      <x:c r="B813" s="106"/>
      <x:c r="C813" s="106"/>
      <x:c r="D813" s="107"/>
      <x:c r="E813" s="108"/>
      <x:c r="F813" s="106"/>
      <x:c r="G813" s="106"/>
      <x:c r="H813" s="109"/>
      <x:c r="I813" s="110"/>
      <x:c r="J813" s="100"/>
      <x:c r="K813" s="100"/>
      <x:c r="L813" s="100"/>
      <x:c r="M813" s="100"/>
      <x:c r="N813" s="100"/>
      <x:c r="O813" s="100"/>
      <x:c r="P813" s="100"/>
      <x:c r="Q813" s="100"/>
      <x:c r="R813" s="100"/>
      <x:c r="S813" s="100"/>
      <x:c r="T813" s="100"/>
      <x:c r="U813" s="100"/>
      <x:c r="V813" s="100"/>
      <x:c r="W813" s="100"/>
      <x:c r="X813" s="100"/>
      <x:c r="Y813" s="100"/>
      <x:c r="Z813" s="100"/>
    </x:row>
    <x:row r="814" spans="1:26">
      <x:c r="A814" s="111"/>
      <x:c r="B814" s="111"/>
      <x:c r="C814" s="111"/>
      <x:c r="D814" s="112"/>
      <x:c r="E814" s="113"/>
      <x:c r="F814" s="111"/>
      <x:c r="G814" s="111"/>
      <x:c r="H814" s="114"/>
      <x:c r="I814" s="115"/>
      <x:c r="J814" s="92"/>
      <x:c r="K814" s="92"/>
      <x:c r="L814" s="92"/>
      <x:c r="M814" s="92"/>
      <x:c r="N814" s="92"/>
      <x:c r="O814" s="92"/>
      <x:c r="P814" s="92"/>
      <x:c r="Q814" s="92"/>
      <x:c r="R814" s="92"/>
      <x:c r="S814" s="92"/>
      <x:c r="T814" s="92"/>
      <x:c r="U814" s="92"/>
      <x:c r="V814" s="92"/>
      <x:c r="W814" s="92"/>
      <x:c r="X814" s="92"/>
      <x:c r="Y814" s="92"/>
      <x:c r="Z814" s="92"/>
    </x:row>
    <x:row r="815" spans="1:26">
      <x:c r="A815" s="106"/>
      <x:c r="B815" s="106"/>
      <x:c r="C815" s="106"/>
      <x:c r="D815" s="107"/>
      <x:c r="E815" s="108"/>
      <x:c r="F815" s="106"/>
      <x:c r="G815" s="106"/>
      <x:c r="H815" s="109"/>
      <x:c r="I815" s="110"/>
      <x:c r="J815" s="100"/>
      <x:c r="K815" s="100"/>
      <x:c r="L815" s="100"/>
      <x:c r="M815" s="100"/>
      <x:c r="N815" s="100"/>
      <x:c r="O815" s="100"/>
      <x:c r="P815" s="100"/>
      <x:c r="Q815" s="100"/>
      <x:c r="R815" s="100"/>
      <x:c r="S815" s="100"/>
      <x:c r="T815" s="100"/>
      <x:c r="U815" s="100"/>
      <x:c r="V815" s="100"/>
      <x:c r="W815" s="100"/>
      <x:c r="X815" s="100"/>
      <x:c r="Y815" s="100"/>
      <x:c r="Z815" s="100"/>
    </x:row>
    <x:row r="816" spans="1:26">
      <x:c r="A816" s="111"/>
      <x:c r="B816" s="111"/>
      <x:c r="C816" s="111"/>
      <x:c r="D816" s="112"/>
      <x:c r="E816" s="113"/>
      <x:c r="F816" s="111"/>
      <x:c r="G816" s="111"/>
      <x:c r="H816" s="114"/>
      <x:c r="I816" s="115"/>
      <x:c r="J816" s="92"/>
      <x:c r="K816" s="92"/>
      <x:c r="L816" s="92"/>
      <x:c r="M816" s="92"/>
      <x:c r="N816" s="92"/>
      <x:c r="O816" s="92"/>
      <x:c r="P816" s="92"/>
      <x:c r="Q816" s="92"/>
      <x:c r="R816" s="92"/>
      <x:c r="S816" s="92"/>
      <x:c r="T816" s="92"/>
      <x:c r="U816" s="92"/>
      <x:c r="V816" s="92"/>
      <x:c r="W816" s="92"/>
      <x:c r="X816" s="92"/>
      <x:c r="Y816" s="92"/>
      <x:c r="Z816" s="92"/>
    </x:row>
    <x:row r="817" spans="1:26">
      <x:c r="A817" s="106"/>
      <x:c r="B817" s="106"/>
      <x:c r="C817" s="106"/>
      <x:c r="D817" s="107"/>
      <x:c r="E817" s="108"/>
      <x:c r="F817" s="106"/>
      <x:c r="G817" s="106"/>
      <x:c r="H817" s="109"/>
      <x:c r="I817" s="110"/>
      <x:c r="J817" s="100"/>
      <x:c r="K817" s="100"/>
      <x:c r="L817" s="100"/>
      <x:c r="M817" s="100"/>
      <x:c r="N817" s="100"/>
      <x:c r="O817" s="100"/>
      <x:c r="P817" s="100"/>
      <x:c r="Q817" s="100"/>
      <x:c r="R817" s="100"/>
      <x:c r="S817" s="100"/>
      <x:c r="T817" s="100"/>
      <x:c r="U817" s="100"/>
      <x:c r="V817" s="100"/>
      <x:c r="W817" s="100"/>
      <x:c r="X817" s="100"/>
      <x:c r="Y817" s="100"/>
      <x:c r="Z817" s="100"/>
    </x:row>
    <x:row r="818" spans="1:26">
      <x:c r="A818" s="111"/>
      <x:c r="B818" s="111"/>
      <x:c r="C818" s="111"/>
      <x:c r="D818" s="112"/>
      <x:c r="E818" s="113"/>
      <x:c r="F818" s="111"/>
      <x:c r="G818" s="111"/>
      <x:c r="H818" s="114"/>
      <x:c r="I818" s="115"/>
      <x:c r="J818" s="92"/>
      <x:c r="K818" s="92"/>
      <x:c r="L818" s="92"/>
      <x:c r="M818" s="92"/>
      <x:c r="N818" s="92"/>
      <x:c r="O818" s="92"/>
      <x:c r="P818" s="92"/>
      <x:c r="Q818" s="92"/>
      <x:c r="R818" s="92"/>
      <x:c r="S818" s="92"/>
      <x:c r="T818" s="92"/>
      <x:c r="U818" s="92"/>
      <x:c r="V818" s="92"/>
      <x:c r="W818" s="92"/>
      <x:c r="X818" s="92"/>
      <x:c r="Y818" s="92"/>
      <x:c r="Z818" s="92"/>
    </x:row>
    <x:row r="819" spans="1:26">
      <x:c r="A819" s="106"/>
      <x:c r="B819" s="106"/>
      <x:c r="C819" s="106"/>
      <x:c r="D819" s="107"/>
      <x:c r="E819" s="108"/>
      <x:c r="F819" s="106"/>
      <x:c r="G819" s="106"/>
      <x:c r="H819" s="109"/>
      <x:c r="I819" s="110"/>
      <x:c r="J819" s="100"/>
      <x:c r="K819" s="100"/>
      <x:c r="L819" s="100"/>
      <x:c r="M819" s="100"/>
      <x:c r="N819" s="100"/>
      <x:c r="O819" s="100"/>
      <x:c r="P819" s="100"/>
      <x:c r="Q819" s="100"/>
      <x:c r="R819" s="100"/>
      <x:c r="S819" s="100"/>
      <x:c r="T819" s="100"/>
      <x:c r="U819" s="100"/>
      <x:c r="V819" s="100"/>
      <x:c r="W819" s="100"/>
      <x:c r="X819" s="100"/>
      <x:c r="Y819" s="100"/>
      <x:c r="Z819" s="100"/>
    </x:row>
    <x:row r="820" spans="1:26">
      <x:c r="A820" s="111"/>
      <x:c r="B820" s="111"/>
      <x:c r="C820" s="111"/>
      <x:c r="D820" s="112"/>
      <x:c r="E820" s="113"/>
      <x:c r="F820" s="111"/>
      <x:c r="G820" s="111"/>
      <x:c r="H820" s="114"/>
      <x:c r="I820" s="115"/>
      <x:c r="J820" s="92"/>
      <x:c r="K820" s="92"/>
      <x:c r="L820" s="92"/>
      <x:c r="M820" s="92"/>
      <x:c r="N820" s="92"/>
      <x:c r="O820" s="92"/>
      <x:c r="P820" s="92"/>
      <x:c r="Q820" s="92"/>
      <x:c r="R820" s="92"/>
      <x:c r="S820" s="92"/>
      <x:c r="T820" s="92"/>
      <x:c r="U820" s="92"/>
      <x:c r="V820" s="92"/>
      <x:c r="W820" s="92"/>
      <x:c r="X820" s="92"/>
      <x:c r="Y820" s="92"/>
      <x:c r="Z820" s="92"/>
    </x:row>
    <x:row r="821" spans="1:26">
      <x:c r="A821" s="106"/>
      <x:c r="B821" s="106"/>
      <x:c r="C821" s="106"/>
      <x:c r="D821" s="107"/>
      <x:c r="E821" s="108"/>
      <x:c r="F821" s="106"/>
      <x:c r="G821" s="106"/>
      <x:c r="H821" s="109"/>
      <x:c r="I821" s="110"/>
      <x:c r="J821" s="100"/>
      <x:c r="K821" s="100"/>
      <x:c r="L821" s="100"/>
      <x:c r="M821" s="100"/>
      <x:c r="N821" s="100"/>
      <x:c r="O821" s="100"/>
      <x:c r="P821" s="100"/>
      <x:c r="Q821" s="100"/>
      <x:c r="R821" s="100"/>
      <x:c r="S821" s="100"/>
      <x:c r="T821" s="100"/>
      <x:c r="U821" s="100"/>
      <x:c r="V821" s="100"/>
      <x:c r="W821" s="100"/>
      <x:c r="X821" s="100"/>
      <x:c r="Y821" s="100"/>
      <x:c r="Z821" s="100"/>
    </x:row>
    <x:row r="822" spans="1:26">
      <x:c r="A822" s="111"/>
      <x:c r="B822" s="111"/>
      <x:c r="C822" s="111"/>
      <x:c r="D822" s="112"/>
      <x:c r="E822" s="113"/>
      <x:c r="F822" s="111"/>
      <x:c r="G822" s="111"/>
      <x:c r="H822" s="114"/>
      <x:c r="I822" s="115"/>
      <x:c r="J822" s="92"/>
      <x:c r="K822" s="92"/>
      <x:c r="L822" s="92"/>
      <x:c r="M822" s="92"/>
      <x:c r="N822" s="92"/>
      <x:c r="O822" s="92"/>
      <x:c r="P822" s="92"/>
      <x:c r="Q822" s="92"/>
      <x:c r="R822" s="92"/>
      <x:c r="S822" s="92"/>
      <x:c r="T822" s="92"/>
      <x:c r="U822" s="92"/>
      <x:c r="V822" s="92"/>
      <x:c r="W822" s="92"/>
      <x:c r="X822" s="92"/>
      <x:c r="Y822" s="92"/>
      <x:c r="Z822" s="92"/>
    </x:row>
    <x:row r="823" spans="1:26">
      <x:c r="A823" s="106"/>
      <x:c r="B823" s="106"/>
      <x:c r="C823" s="106"/>
      <x:c r="D823" s="107"/>
      <x:c r="E823" s="108"/>
      <x:c r="F823" s="106"/>
      <x:c r="G823" s="106"/>
      <x:c r="H823" s="109"/>
      <x:c r="I823" s="110"/>
      <x:c r="J823" s="100"/>
      <x:c r="K823" s="100"/>
      <x:c r="L823" s="100"/>
      <x:c r="M823" s="100"/>
      <x:c r="N823" s="100"/>
      <x:c r="O823" s="100"/>
      <x:c r="P823" s="100"/>
      <x:c r="Q823" s="100"/>
      <x:c r="R823" s="100"/>
      <x:c r="S823" s="100"/>
      <x:c r="T823" s="100"/>
      <x:c r="U823" s="100"/>
      <x:c r="V823" s="100"/>
      <x:c r="W823" s="100"/>
      <x:c r="X823" s="100"/>
      <x:c r="Y823" s="100"/>
      <x:c r="Z823" s="100"/>
    </x:row>
    <x:row r="824" spans="1:26">
      <x:c r="A824" s="111"/>
      <x:c r="B824" s="111"/>
      <x:c r="C824" s="111"/>
      <x:c r="D824" s="112"/>
      <x:c r="E824" s="113"/>
      <x:c r="F824" s="111"/>
      <x:c r="G824" s="111"/>
      <x:c r="H824" s="114"/>
      <x:c r="I824" s="115"/>
      <x:c r="J824" s="92"/>
      <x:c r="K824" s="92"/>
      <x:c r="L824" s="92"/>
      <x:c r="M824" s="92"/>
      <x:c r="N824" s="92"/>
      <x:c r="O824" s="92"/>
      <x:c r="P824" s="92"/>
      <x:c r="Q824" s="92"/>
      <x:c r="R824" s="92"/>
      <x:c r="S824" s="92"/>
      <x:c r="T824" s="92"/>
      <x:c r="U824" s="92"/>
      <x:c r="V824" s="92"/>
      <x:c r="W824" s="92"/>
      <x:c r="X824" s="92"/>
      <x:c r="Y824" s="92"/>
      <x:c r="Z824" s="92"/>
    </x:row>
    <x:row r="825" spans="1:26">
      <x:c r="A825" s="106"/>
      <x:c r="B825" s="106"/>
      <x:c r="C825" s="106"/>
      <x:c r="D825" s="107"/>
      <x:c r="E825" s="108"/>
      <x:c r="F825" s="106"/>
      <x:c r="G825" s="106"/>
      <x:c r="H825" s="109"/>
      <x:c r="I825" s="110"/>
      <x:c r="J825" s="100"/>
      <x:c r="K825" s="100"/>
      <x:c r="L825" s="100"/>
      <x:c r="M825" s="100"/>
      <x:c r="N825" s="100"/>
      <x:c r="O825" s="100"/>
      <x:c r="P825" s="100"/>
      <x:c r="Q825" s="100"/>
      <x:c r="R825" s="100"/>
      <x:c r="S825" s="100"/>
      <x:c r="T825" s="100"/>
      <x:c r="U825" s="100"/>
      <x:c r="V825" s="100"/>
      <x:c r="W825" s="100"/>
      <x:c r="X825" s="100"/>
      <x:c r="Y825" s="100"/>
      <x:c r="Z825" s="100"/>
    </x:row>
    <x:row r="826" spans="1:26">
      <x:c r="A826" s="111"/>
      <x:c r="B826" s="111"/>
      <x:c r="C826" s="111"/>
      <x:c r="D826" s="112"/>
      <x:c r="E826" s="113"/>
      <x:c r="F826" s="111"/>
      <x:c r="G826" s="111"/>
      <x:c r="H826" s="114"/>
      <x:c r="I826" s="115"/>
      <x:c r="J826" s="92"/>
      <x:c r="K826" s="92"/>
      <x:c r="L826" s="92"/>
      <x:c r="M826" s="92"/>
      <x:c r="N826" s="92"/>
      <x:c r="O826" s="92"/>
      <x:c r="P826" s="92"/>
      <x:c r="Q826" s="92"/>
      <x:c r="R826" s="92"/>
      <x:c r="S826" s="92"/>
      <x:c r="T826" s="92"/>
      <x:c r="U826" s="92"/>
      <x:c r="V826" s="92"/>
      <x:c r="W826" s="92"/>
      <x:c r="X826" s="92"/>
      <x:c r="Y826" s="92"/>
      <x:c r="Z826" s="92"/>
    </x:row>
    <x:row r="827" spans="1:26">
      <x:c r="A827" s="106"/>
      <x:c r="B827" s="106"/>
      <x:c r="C827" s="106"/>
      <x:c r="D827" s="107"/>
      <x:c r="E827" s="108"/>
      <x:c r="F827" s="106"/>
      <x:c r="G827" s="106"/>
      <x:c r="H827" s="109"/>
      <x:c r="I827" s="110"/>
      <x:c r="J827" s="100"/>
      <x:c r="K827" s="100"/>
      <x:c r="L827" s="100"/>
      <x:c r="M827" s="100"/>
      <x:c r="N827" s="100"/>
      <x:c r="O827" s="100"/>
      <x:c r="P827" s="100"/>
      <x:c r="Q827" s="100"/>
      <x:c r="R827" s="100"/>
      <x:c r="S827" s="100"/>
      <x:c r="T827" s="100"/>
      <x:c r="U827" s="100"/>
      <x:c r="V827" s="100"/>
      <x:c r="W827" s="100"/>
      <x:c r="X827" s="100"/>
      <x:c r="Y827" s="100"/>
      <x:c r="Z827" s="100"/>
    </x:row>
    <x:row r="828" spans="1:26">
      <x:c r="A828" s="111"/>
      <x:c r="B828" s="111"/>
      <x:c r="C828" s="111"/>
      <x:c r="D828" s="112"/>
      <x:c r="E828" s="113"/>
      <x:c r="F828" s="111"/>
      <x:c r="G828" s="111"/>
      <x:c r="H828" s="114"/>
      <x:c r="I828" s="115"/>
      <x:c r="J828" s="92"/>
      <x:c r="K828" s="92"/>
      <x:c r="L828" s="92"/>
      <x:c r="M828" s="92"/>
      <x:c r="N828" s="92"/>
      <x:c r="O828" s="92"/>
      <x:c r="P828" s="92"/>
      <x:c r="Q828" s="92"/>
      <x:c r="R828" s="92"/>
      <x:c r="S828" s="92"/>
      <x:c r="T828" s="92"/>
      <x:c r="U828" s="92"/>
      <x:c r="V828" s="92"/>
      <x:c r="W828" s="92"/>
      <x:c r="X828" s="92"/>
      <x:c r="Y828" s="92"/>
      <x:c r="Z828" s="92"/>
    </x:row>
    <x:row r="829" spans="1:26">
      <x:c r="A829" s="106"/>
      <x:c r="B829" s="106"/>
      <x:c r="C829" s="106"/>
      <x:c r="D829" s="107"/>
      <x:c r="E829" s="108"/>
      <x:c r="F829" s="106"/>
      <x:c r="G829" s="106"/>
      <x:c r="H829" s="109"/>
      <x:c r="I829" s="110"/>
      <x:c r="J829" s="100"/>
      <x:c r="K829" s="100"/>
      <x:c r="L829" s="100"/>
      <x:c r="M829" s="100"/>
      <x:c r="N829" s="100"/>
      <x:c r="O829" s="100"/>
      <x:c r="P829" s="100"/>
      <x:c r="Q829" s="100"/>
      <x:c r="R829" s="100"/>
      <x:c r="S829" s="100"/>
      <x:c r="T829" s="100"/>
      <x:c r="U829" s="100"/>
      <x:c r="V829" s="100"/>
      <x:c r="W829" s="100"/>
      <x:c r="X829" s="100"/>
      <x:c r="Y829" s="100"/>
      <x:c r="Z829" s="100"/>
    </x:row>
    <x:row r="830" spans="1:26">
      <x:c r="A830" s="111"/>
      <x:c r="B830" s="111"/>
      <x:c r="C830" s="111"/>
      <x:c r="D830" s="112"/>
      <x:c r="E830" s="113"/>
      <x:c r="F830" s="111"/>
      <x:c r="G830" s="111"/>
      <x:c r="H830" s="114"/>
      <x:c r="I830" s="115"/>
      <x:c r="J830" s="92"/>
      <x:c r="K830" s="92"/>
      <x:c r="L830" s="92"/>
      <x:c r="M830" s="92"/>
      <x:c r="N830" s="92"/>
      <x:c r="O830" s="92"/>
      <x:c r="P830" s="92"/>
      <x:c r="Q830" s="92"/>
      <x:c r="R830" s="92"/>
      <x:c r="S830" s="92"/>
      <x:c r="T830" s="92"/>
      <x:c r="U830" s="92"/>
      <x:c r="V830" s="92"/>
      <x:c r="W830" s="92"/>
      <x:c r="X830" s="92"/>
      <x:c r="Y830" s="92"/>
      <x:c r="Z830" s="92"/>
    </x:row>
    <x:row r="831" spans="1:26">
      <x:c r="A831" s="106"/>
      <x:c r="B831" s="106"/>
      <x:c r="C831" s="106"/>
      <x:c r="D831" s="107"/>
      <x:c r="E831" s="108"/>
      <x:c r="F831" s="106"/>
      <x:c r="G831" s="106"/>
      <x:c r="H831" s="109"/>
      <x:c r="I831" s="110"/>
      <x:c r="J831" s="100"/>
      <x:c r="K831" s="100"/>
      <x:c r="L831" s="100"/>
      <x:c r="M831" s="100"/>
      <x:c r="N831" s="100"/>
      <x:c r="O831" s="100"/>
      <x:c r="P831" s="100"/>
      <x:c r="Q831" s="100"/>
      <x:c r="R831" s="100"/>
      <x:c r="S831" s="100"/>
      <x:c r="T831" s="100"/>
      <x:c r="U831" s="100"/>
      <x:c r="V831" s="100"/>
      <x:c r="W831" s="100"/>
      <x:c r="X831" s="100"/>
      <x:c r="Y831" s="100"/>
      <x:c r="Z831" s="100"/>
    </x:row>
    <x:row r="832" spans="1:26">
      <x:c r="A832" s="111"/>
      <x:c r="B832" s="111"/>
      <x:c r="C832" s="111"/>
      <x:c r="D832" s="112"/>
      <x:c r="E832" s="113"/>
      <x:c r="F832" s="111"/>
      <x:c r="G832" s="111"/>
      <x:c r="H832" s="114"/>
      <x:c r="I832" s="115"/>
      <x:c r="J832" s="92"/>
      <x:c r="K832" s="92"/>
      <x:c r="L832" s="92"/>
      <x:c r="M832" s="92"/>
      <x:c r="N832" s="92"/>
      <x:c r="O832" s="92"/>
      <x:c r="P832" s="92"/>
      <x:c r="Q832" s="92"/>
      <x:c r="R832" s="92"/>
      <x:c r="S832" s="92"/>
      <x:c r="T832" s="92"/>
      <x:c r="U832" s="92"/>
      <x:c r="V832" s="92"/>
      <x:c r="W832" s="92"/>
      <x:c r="X832" s="92"/>
      <x:c r="Y832" s="92"/>
      <x:c r="Z832" s="92"/>
    </x:row>
    <x:row r="833" spans="1:26">
      <x:c r="A833" s="106"/>
      <x:c r="B833" s="106"/>
      <x:c r="C833" s="106"/>
      <x:c r="D833" s="107"/>
      <x:c r="E833" s="108"/>
      <x:c r="F833" s="106"/>
      <x:c r="G833" s="106"/>
      <x:c r="H833" s="109"/>
      <x:c r="I833" s="110"/>
      <x:c r="J833" s="100"/>
      <x:c r="K833" s="100"/>
      <x:c r="L833" s="100"/>
      <x:c r="M833" s="100"/>
      <x:c r="N833" s="100"/>
      <x:c r="O833" s="100"/>
      <x:c r="P833" s="100"/>
      <x:c r="Q833" s="100"/>
      <x:c r="R833" s="100"/>
      <x:c r="S833" s="100"/>
      <x:c r="T833" s="100"/>
      <x:c r="U833" s="100"/>
      <x:c r="V833" s="100"/>
      <x:c r="W833" s="100"/>
      <x:c r="X833" s="100"/>
      <x:c r="Y833" s="100"/>
      <x:c r="Z833" s="100"/>
    </x:row>
    <x:row r="834" spans="1:26">
      <x:c r="A834" s="111"/>
      <x:c r="B834" s="111"/>
      <x:c r="C834" s="111"/>
      <x:c r="D834" s="112"/>
      <x:c r="E834" s="113"/>
      <x:c r="F834" s="111"/>
      <x:c r="G834" s="111"/>
      <x:c r="H834" s="114"/>
      <x:c r="I834" s="115"/>
      <x:c r="J834" s="92"/>
      <x:c r="K834" s="92"/>
      <x:c r="L834" s="92"/>
      <x:c r="M834" s="92"/>
      <x:c r="N834" s="92"/>
      <x:c r="O834" s="92"/>
      <x:c r="P834" s="92"/>
      <x:c r="Q834" s="92"/>
      <x:c r="R834" s="92"/>
      <x:c r="S834" s="92"/>
      <x:c r="T834" s="92"/>
      <x:c r="U834" s="92"/>
      <x:c r="V834" s="92"/>
      <x:c r="W834" s="92"/>
      <x:c r="X834" s="92"/>
      <x:c r="Y834" s="92"/>
      <x:c r="Z834" s="92"/>
    </x:row>
    <x:row r="835" spans="1:26">
      <x:c r="A835" s="106"/>
      <x:c r="B835" s="106"/>
      <x:c r="C835" s="106"/>
      <x:c r="D835" s="107"/>
      <x:c r="E835" s="108"/>
      <x:c r="F835" s="106"/>
      <x:c r="G835" s="106"/>
      <x:c r="H835" s="109"/>
      <x:c r="I835" s="110"/>
      <x:c r="J835" s="100"/>
      <x:c r="K835" s="100"/>
      <x:c r="L835" s="100"/>
      <x:c r="M835" s="100"/>
      <x:c r="N835" s="100"/>
      <x:c r="O835" s="100"/>
      <x:c r="P835" s="100"/>
      <x:c r="Q835" s="100"/>
      <x:c r="R835" s="100"/>
      <x:c r="S835" s="100"/>
      <x:c r="T835" s="100"/>
      <x:c r="U835" s="100"/>
      <x:c r="V835" s="100"/>
      <x:c r="W835" s="100"/>
      <x:c r="X835" s="100"/>
      <x:c r="Y835" s="100"/>
      <x:c r="Z835" s="100"/>
    </x:row>
    <x:row r="836" spans="1:26">
      <x:c r="A836" s="111"/>
      <x:c r="B836" s="111"/>
      <x:c r="C836" s="111"/>
      <x:c r="D836" s="112"/>
      <x:c r="E836" s="113"/>
      <x:c r="F836" s="111"/>
      <x:c r="G836" s="111"/>
      <x:c r="H836" s="114"/>
      <x:c r="I836" s="115"/>
      <x:c r="J836" s="92"/>
      <x:c r="K836" s="92"/>
      <x:c r="L836" s="92"/>
      <x:c r="M836" s="92"/>
      <x:c r="N836" s="92"/>
      <x:c r="O836" s="92"/>
      <x:c r="P836" s="92"/>
      <x:c r="Q836" s="92"/>
      <x:c r="R836" s="92"/>
      <x:c r="S836" s="92"/>
      <x:c r="T836" s="92"/>
      <x:c r="U836" s="92"/>
      <x:c r="V836" s="92"/>
      <x:c r="W836" s="92"/>
      <x:c r="X836" s="92"/>
      <x:c r="Y836" s="92"/>
      <x:c r="Z836" s="92"/>
    </x:row>
    <x:row r="837" spans="1:26">
      <x:c r="A837" s="106"/>
      <x:c r="B837" s="106"/>
      <x:c r="C837" s="106"/>
      <x:c r="D837" s="107"/>
      <x:c r="E837" s="108"/>
      <x:c r="F837" s="106"/>
      <x:c r="G837" s="106"/>
      <x:c r="H837" s="109"/>
      <x:c r="I837" s="110"/>
      <x:c r="J837" s="100"/>
      <x:c r="K837" s="100"/>
      <x:c r="L837" s="100"/>
      <x:c r="M837" s="100"/>
      <x:c r="N837" s="100"/>
      <x:c r="O837" s="100"/>
      <x:c r="P837" s="100"/>
      <x:c r="Q837" s="100"/>
      <x:c r="R837" s="100"/>
      <x:c r="S837" s="100"/>
      <x:c r="T837" s="100"/>
      <x:c r="U837" s="100"/>
      <x:c r="V837" s="100"/>
      <x:c r="W837" s="100"/>
      <x:c r="X837" s="100"/>
      <x:c r="Y837" s="100"/>
      <x:c r="Z837" s="100"/>
    </x:row>
    <x:row r="838" spans="1:26">
      <x:c r="A838" s="111"/>
      <x:c r="B838" s="111"/>
      <x:c r="C838" s="111"/>
      <x:c r="D838" s="112"/>
      <x:c r="E838" s="113"/>
      <x:c r="F838" s="111"/>
      <x:c r="G838" s="111"/>
      <x:c r="H838" s="114"/>
      <x:c r="I838" s="115"/>
      <x:c r="J838" s="92"/>
      <x:c r="K838" s="92"/>
      <x:c r="L838" s="92"/>
      <x:c r="M838" s="92"/>
      <x:c r="N838" s="92"/>
      <x:c r="O838" s="92"/>
      <x:c r="P838" s="92"/>
      <x:c r="Q838" s="92"/>
      <x:c r="R838" s="92"/>
      <x:c r="S838" s="92"/>
      <x:c r="T838" s="92"/>
      <x:c r="U838" s="92"/>
      <x:c r="V838" s="92"/>
      <x:c r="W838" s="92"/>
      <x:c r="X838" s="92"/>
      <x:c r="Y838" s="92"/>
      <x:c r="Z838" s="92"/>
    </x:row>
    <x:row r="839" spans="1:26">
      <x:c r="A839" s="106"/>
      <x:c r="B839" s="106"/>
      <x:c r="C839" s="106"/>
      <x:c r="D839" s="107"/>
      <x:c r="E839" s="108"/>
      <x:c r="F839" s="106"/>
      <x:c r="G839" s="106"/>
      <x:c r="H839" s="109"/>
      <x:c r="I839" s="110"/>
      <x:c r="J839" s="100"/>
      <x:c r="K839" s="100"/>
      <x:c r="L839" s="100"/>
      <x:c r="M839" s="100"/>
      <x:c r="N839" s="100"/>
      <x:c r="O839" s="100"/>
      <x:c r="P839" s="100"/>
      <x:c r="Q839" s="100"/>
      <x:c r="R839" s="100"/>
      <x:c r="S839" s="100"/>
      <x:c r="T839" s="100"/>
      <x:c r="U839" s="100"/>
      <x:c r="V839" s="100"/>
      <x:c r="W839" s="100"/>
      <x:c r="X839" s="100"/>
      <x:c r="Y839" s="100"/>
      <x:c r="Z839" s="100"/>
    </x:row>
    <x:row r="840" spans="1:26">
      <x:c r="A840" s="111"/>
      <x:c r="B840" s="111"/>
      <x:c r="C840" s="111"/>
      <x:c r="D840" s="112"/>
      <x:c r="E840" s="113"/>
      <x:c r="F840" s="111"/>
      <x:c r="G840" s="111"/>
      <x:c r="H840" s="114"/>
      <x:c r="I840" s="115"/>
      <x:c r="J840" s="92"/>
      <x:c r="K840" s="92"/>
      <x:c r="L840" s="92"/>
      <x:c r="M840" s="92"/>
      <x:c r="N840" s="92"/>
      <x:c r="O840" s="92"/>
      <x:c r="P840" s="92"/>
      <x:c r="Q840" s="92"/>
      <x:c r="R840" s="92"/>
      <x:c r="S840" s="92"/>
      <x:c r="T840" s="92"/>
      <x:c r="U840" s="92"/>
      <x:c r="V840" s="92"/>
      <x:c r="W840" s="92"/>
      <x:c r="X840" s="92"/>
      <x:c r="Y840" s="92"/>
      <x:c r="Z840" s="92"/>
    </x:row>
    <x:row r="841" spans="1:26">
      <x:c r="A841" s="106"/>
      <x:c r="B841" s="106"/>
      <x:c r="C841" s="106"/>
      <x:c r="D841" s="107"/>
      <x:c r="E841" s="108"/>
      <x:c r="F841" s="106"/>
      <x:c r="G841" s="106"/>
      <x:c r="H841" s="109"/>
      <x:c r="I841" s="110"/>
      <x:c r="J841" s="100"/>
      <x:c r="K841" s="100"/>
      <x:c r="L841" s="100"/>
      <x:c r="M841" s="100"/>
      <x:c r="N841" s="100"/>
      <x:c r="O841" s="100"/>
      <x:c r="P841" s="100"/>
      <x:c r="Q841" s="100"/>
      <x:c r="R841" s="100"/>
      <x:c r="S841" s="100"/>
      <x:c r="T841" s="100"/>
      <x:c r="U841" s="100"/>
      <x:c r="V841" s="100"/>
      <x:c r="W841" s="100"/>
      <x:c r="X841" s="100"/>
      <x:c r="Y841" s="100"/>
      <x:c r="Z841" s="100"/>
    </x:row>
    <x:row r="842" spans="1:26">
      <x:c r="A842" s="111"/>
      <x:c r="B842" s="111"/>
      <x:c r="C842" s="111"/>
      <x:c r="D842" s="112"/>
      <x:c r="E842" s="113"/>
      <x:c r="F842" s="111"/>
      <x:c r="G842" s="111"/>
      <x:c r="H842" s="114"/>
      <x:c r="I842" s="115"/>
      <x:c r="J842" s="92"/>
      <x:c r="K842" s="92"/>
      <x:c r="L842" s="92"/>
      <x:c r="M842" s="92"/>
      <x:c r="N842" s="92"/>
      <x:c r="O842" s="92"/>
      <x:c r="P842" s="92"/>
      <x:c r="Q842" s="92"/>
      <x:c r="R842" s="92"/>
      <x:c r="S842" s="92"/>
      <x:c r="T842" s="92"/>
      <x:c r="U842" s="92"/>
      <x:c r="V842" s="92"/>
      <x:c r="W842" s="92"/>
      <x:c r="X842" s="92"/>
      <x:c r="Y842" s="92"/>
      <x:c r="Z842" s="92"/>
    </x:row>
    <x:row r="843" spans="1:26">
      <x:c r="A843" s="106"/>
      <x:c r="B843" s="106"/>
      <x:c r="C843" s="106"/>
      <x:c r="D843" s="107"/>
      <x:c r="E843" s="108"/>
      <x:c r="F843" s="106"/>
      <x:c r="G843" s="106"/>
      <x:c r="H843" s="109"/>
      <x:c r="I843" s="110"/>
      <x:c r="J843" s="100"/>
      <x:c r="K843" s="100"/>
      <x:c r="L843" s="100"/>
      <x:c r="M843" s="100"/>
      <x:c r="N843" s="100"/>
      <x:c r="O843" s="100"/>
      <x:c r="P843" s="100"/>
      <x:c r="Q843" s="100"/>
      <x:c r="R843" s="100"/>
      <x:c r="S843" s="100"/>
      <x:c r="T843" s="100"/>
      <x:c r="U843" s="100"/>
      <x:c r="V843" s="100"/>
      <x:c r="W843" s="100"/>
      <x:c r="X843" s="100"/>
      <x:c r="Y843" s="100"/>
      <x:c r="Z843" s="100"/>
    </x:row>
    <x:row r="844" spans="1:26">
      <x:c r="A844" s="111"/>
      <x:c r="B844" s="111"/>
      <x:c r="C844" s="111"/>
      <x:c r="D844" s="112"/>
      <x:c r="E844" s="113"/>
      <x:c r="F844" s="111"/>
      <x:c r="G844" s="111"/>
      <x:c r="H844" s="114"/>
      <x:c r="I844" s="115"/>
      <x:c r="J844" s="92"/>
      <x:c r="K844" s="92"/>
      <x:c r="L844" s="92"/>
      <x:c r="M844" s="92"/>
      <x:c r="N844" s="92"/>
      <x:c r="O844" s="92"/>
      <x:c r="P844" s="92"/>
      <x:c r="Q844" s="92"/>
      <x:c r="R844" s="92"/>
      <x:c r="S844" s="92"/>
      <x:c r="T844" s="92"/>
      <x:c r="U844" s="92"/>
      <x:c r="V844" s="92"/>
      <x:c r="W844" s="92"/>
      <x:c r="X844" s="92"/>
      <x:c r="Y844" s="92"/>
      <x:c r="Z844" s="92"/>
    </x:row>
    <x:row r="845" spans="1:26">
      <x:c r="A845" s="106"/>
      <x:c r="B845" s="106"/>
      <x:c r="C845" s="106"/>
      <x:c r="D845" s="107"/>
      <x:c r="E845" s="108"/>
      <x:c r="F845" s="106"/>
      <x:c r="G845" s="106"/>
      <x:c r="H845" s="109"/>
      <x:c r="I845" s="110"/>
      <x:c r="J845" s="100"/>
      <x:c r="K845" s="100"/>
      <x:c r="L845" s="100"/>
      <x:c r="M845" s="100"/>
      <x:c r="N845" s="100"/>
      <x:c r="O845" s="100"/>
      <x:c r="P845" s="100"/>
      <x:c r="Q845" s="100"/>
      <x:c r="R845" s="100"/>
      <x:c r="S845" s="100"/>
      <x:c r="T845" s="100"/>
      <x:c r="U845" s="100"/>
      <x:c r="V845" s="100"/>
      <x:c r="W845" s="100"/>
      <x:c r="X845" s="100"/>
      <x:c r="Y845" s="100"/>
      <x:c r="Z845" s="100"/>
    </x:row>
    <x:row r="846" spans="1:26">
      <x:c r="A846" s="111"/>
      <x:c r="B846" s="111"/>
      <x:c r="C846" s="111"/>
      <x:c r="D846" s="112"/>
      <x:c r="E846" s="113"/>
      <x:c r="F846" s="111"/>
      <x:c r="G846" s="111"/>
      <x:c r="H846" s="114"/>
      <x:c r="I846" s="115"/>
      <x:c r="J846" s="92"/>
      <x:c r="K846" s="92"/>
      <x:c r="L846" s="92"/>
      <x:c r="M846" s="92"/>
      <x:c r="N846" s="92"/>
      <x:c r="O846" s="92"/>
      <x:c r="P846" s="92"/>
      <x:c r="Q846" s="92"/>
      <x:c r="R846" s="92"/>
      <x:c r="S846" s="92"/>
      <x:c r="T846" s="92"/>
      <x:c r="U846" s="92"/>
      <x:c r="V846" s="92"/>
      <x:c r="W846" s="92"/>
      <x:c r="X846" s="92"/>
      <x:c r="Y846" s="92"/>
      <x:c r="Z846" s="92"/>
    </x:row>
    <x:row r="847" spans="1:26">
      <x:c r="A847" s="106"/>
      <x:c r="B847" s="106"/>
      <x:c r="C847" s="106"/>
      <x:c r="D847" s="107"/>
      <x:c r="E847" s="108"/>
      <x:c r="F847" s="106"/>
      <x:c r="G847" s="106"/>
      <x:c r="H847" s="109"/>
      <x:c r="I847" s="110"/>
      <x:c r="J847" s="100"/>
      <x:c r="K847" s="100"/>
      <x:c r="L847" s="100"/>
      <x:c r="M847" s="100"/>
      <x:c r="N847" s="100"/>
      <x:c r="O847" s="100"/>
      <x:c r="P847" s="100"/>
      <x:c r="Q847" s="100"/>
      <x:c r="R847" s="100"/>
      <x:c r="S847" s="100"/>
      <x:c r="T847" s="100"/>
      <x:c r="U847" s="100"/>
      <x:c r="V847" s="100"/>
      <x:c r="W847" s="100"/>
      <x:c r="X847" s="100"/>
      <x:c r="Y847" s="100"/>
      <x:c r="Z847" s="100"/>
    </x:row>
    <x:row r="848" spans="1:26">
      <x:c r="A848" s="111"/>
      <x:c r="B848" s="111"/>
      <x:c r="C848" s="111"/>
      <x:c r="D848" s="112"/>
      <x:c r="E848" s="113"/>
      <x:c r="F848" s="111"/>
      <x:c r="G848" s="111"/>
      <x:c r="H848" s="114"/>
      <x:c r="I848" s="115"/>
      <x:c r="J848" s="92"/>
      <x:c r="K848" s="92"/>
      <x:c r="L848" s="92"/>
      <x:c r="M848" s="92"/>
      <x:c r="N848" s="92"/>
      <x:c r="O848" s="92"/>
      <x:c r="P848" s="92"/>
      <x:c r="Q848" s="92"/>
      <x:c r="R848" s="92"/>
      <x:c r="S848" s="92"/>
      <x:c r="T848" s="92"/>
      <x:c r="U848" s="92"/>
      <x:c r="V848" s="92"/>
      <x:c r="W848" s="92"/>
      <x:c r="X848" s="92"/>
      <x:c r="Y848" s="92"/>
      <x:c r="Z848" s="92"/>
    </x:row>
    <x:row r="849" spans="1:26">
      <x:c r="A849" s="106"/>
      <x:c r="B849" s="106"/>
      <x:c r="C849" s="106"/>
      <x:c r="D849" s="107"/>
      <x:c r="E849" s="108"/>
      <x:c r="F849" s="106"/>
      <x:c r="G849" s="106"/>
      <x:c r="H849" s="109"/>
      <x:c r="I849" s="110"/>
      <x:c r="J849" s="100"/>
      <x:c r="K849" s="100"/>
      <x:c r="L849" s="100"/>
      <x:c r="M849" s="100"/>
      <x:c r="N849" s="100"/>
      <x:c r="O849" s="100"/>
      <x:c r="P849" s="100"/>
      <x:c r="Q849" s="100"/>
      <x:c r="R849" s="100"/>
      <x:c r="S849" s="100"/>
      <x:c r="T849" s="100"/>
      <x:c r="U849" s="100"/>
      <x:c r="V849" s="100"/>
      <x:c r="W849" s="100"/>
      <x:c r="X849" s="100"/>
      <x:c r="Y849" s="100"/>
      <x:c r="Z849" s="100"/>
    </x:row>
    <x:row r="850" spans="1:26">
      <x:c r="A850" s="111"/>
      <x:c r="B850" s="111"/>
      <x:c r="C850" s="111"/>
      <x:c r="D850" s="112"/>
      <x:c r="E850" s="113"/>
      <x:c r="F850" s="111"/>
      <x:c r="G850" s="111"/>
      <x:c r="H850" s="114"/>
      <x:c r="I850" s="115"/>
      <x:c r="J850" s="92"/>
      <x:c r="K850" s="92"/>
      <x:c r="L850" s="92"/>
      <x:c r="M850" s="92"/>
      <x:c r="N850" s="92"/>
      <x:c r="O850" s="92"/>
      <x:c r="P850" s="92"/>
      <x:c r="Q850" s="92"/>
      <x:c r="R850" s="92"/>
      <x:c r="S850" s="92"/>
      <x:c r="T850" s="92"/>
      <x:c r="U850" s="92"/>
      <x:c r="V850" s="92"/>
      <x:c r="W850" s="92"/>
      <x:c r="X850" s="92"/>
      <x:c r="Y850" s="92"/>
      <x:c r="Z850" s="92"/>
    </x:row>
    <x:row r="851" spans="1:26">
      <x:c r="A851" s="106"/>
      <x:c r="B851" s="106"/>
      <x:c r="C851" s="106"/>
      <x:c r="D851" s="107"/>
      <x:c r="E851" s="108"/>
      <x:c r="F851" s="106"/>
      <x:c r="G851" s="106"/>
      <x:c r="H851" s="109"/>
      <x:c r="I851" s="110"/>
      <x:c r="J851" s="100"/>
      <x:c r="K851" s="100"/>
      <x:c r="L851" s="100"/>
      <x:c r="M851" s="100"/>
      <x:c r="N851" s="100"/>
      <x:c r="O851" s="100"/>
      <x:c r="P851" s="100"/>
      <x:c r="Q851" s="100"/>
      <x:c r="R851" s="100"/>
      <x:c r="S851" s="100"/>
      <x:c r="T851" s="100"/>
      <x:c r="U851" s="100"/>
      <x:c r="V851" s="100"/>
      <x:c r="W851" s="100"/>
      <x:c r="X851" s="100"/>
      <x:c r="Y851" s="100"/>
      <x:c r="Z851" s="100"/>
    </x:row>
    <x:row r="852" spans="1:26">
      <x:c r="A852" s="111"/>
      <x:c r="B852" s="111"/>
      <x:c r="C852" s="111"/>
      <x:c r="D852" s="112"/>
      <x:c r="E852" s="113"/>
      <x:c r="F852" s="111"/>
      <x:c r="G852" s="111"/>
      <x:c r="H852" s="114"/>
      <x:c r="I852" s="115"/>
      <x:c r="J852" s="92"/>
      <x:c r="K852" s="92"/>
      <x:c r="L852" s="92"/>
      <x:c r="M852" s="92"/>
      <x:c r="N852" s="92"/>
      <x:c r="O852" s="92"/>
      <x:c r="P852" s="92"/>
      <x:c r="Q852" s="92"/>
      <x:c r="R852" s="92"/>
      <x:c r="S852" s="92"/>
      <x:c r="T852" s="92"/>
      <x:c r="U852" s="92"/>
      <x:c r="V852" s="92"/>
      <x:c r="W852" s="92"/>
      <x:c r="X852" s="92"/>
      <x:c r="Y852" s="92"/>
      <x:c r="Z852" s="92"/>
    </x:row>
    <x:row r="853" spans="1:26">
      <x:c r="A853" s="106"/>
      <x:c r="B853" s="106"/>
      <x:c r="C853" s="106"/>
      <x:c r="D853" s="107"/>
      <x:c r="E853" s="108"/>
      <x:c r="F853" s="106"/>
      <x:c r="G853" s="106"/>
      <x:c r="H853" s="109"/>
      <x:c r="I853" s="110"/>
      <x:c r="J853" s="100"/>
      <x:c r="K853" s="100"/>
      <x:c r="L853" s="100"/>
      <x:c r="M853" s="100"/>
      <x:c r="N853" s="100"/>
      <x:c r="O853" s="100"/>
      <x:c r="P853" s="100"/>
      <x:c r="Q853" s="100"/>
      <x:c r="R853" s="100"/>
      <x:c r="S853" s="100"/>
      <x:c r="T853" s="100"/>
      <x:c r="U853" s="100"/>
      <x:c r="V853" s="100"/>
      <x:c r="W853" s="100"/>
      <x:c r="X853" s="100"/>
      <x:c r="Y853" s="100"/>
      <x:c r="Z853" s="100"/>
    </x:row>
    <x:row r="854" spans="1:26">
      <x:c r="A854" s="111"/>
      <x:c r="B854" s="111"/>
      <x:c r="C854" s="111"/>
      <x:c r="D854" s="112"/>
      <x:c r="E854" s="113"/>
      <x:c r="F854" s="111"/>
      <x:c r="G854" s="111"/>
      <x:c r="H854" s="114"/>
      <x:c r="I854" s="115"/>
      <x:c r="J854" s="92"/>
      <x:c r="K854" s="92"/>
      <x:c r="L854" s="92"/>
      <x:c r="M854" s="92"/>
      <x:c r="N854" s="92"/>
      <x:c r="O854" s="92"/>
      <x:c r="P854" s="92"/>
      <x:c r="Q854" s="92"/>
      <x:c r="R854" s="92"/>
      <x:c r="S854" s="92"/>
      <x:c r="T854" s="92"/>
      <x:c r="U854" s="92"/>
      <x:c r="V854" s="92"/>
      <x:c r="W854" s="92"/>
      <x:c r="X854" s="92"/>
      <x:c r="Y854" s="92"/>
      <x:c r="Z854" s="92"/>
    </x:row>
    <x:row r="855" spans="1:26">
      <x:c r="A855" s="106"/>
      <x:c r="B855" s="106"/>
      <x:c r="C855" s="106"/>
      <x:c r="D855" s="107"/>
      <x:c r="E855" s="108"/>
      <x:c r="F855" s="106"/>
      <x:c r="G855" s="106"/>
      <x:c r="H855" s="109"/>
      <x:c r="I855" s="110"/>
      <x:c r="J855" s="100"/>
      <x:c r="K855" s="100"/>
      <x:c r="L855" s="100"/>
      <x:c r="M855" s="100"/>
      <x:c r="N855" s="100"/>
      <x:c r="O855" s="100"/>
      <x:c r="P855" s="100"/>
      <x:c r="Q855" s="100"/>
      <x:c r="R855" s="100"/>
      <x:c r="S855" s="100"/>
      <x:c r="T855" s="100"/>
      <x:c r="U855" s="100"/>
      <x:c r="V855" s="100"/>
      <x:c r="W855" s="100"/>
      <x:c r="X855" s="100"/>
      <x:c r="Y855" s="100"/>
      <x:c r="Z855" s="100"/>
    </x:row>
    <x:row r="856" spans="1:26">
      <x:c r="A856" s="111"/>
      <x:c r="B856" s="111"/>
      <x:c r="C856" s="111"/>
      <x:c r="D856" s="112"/>
      <x:c r="E856" s="113"/>
      <x:c r="F856" s="111"/>
      <x:c r="G856" s="111"/>
      <x:c r="H856" s="114"/>
      <x:c r="I856" s="115"/>
      <x:c r="J856" s="92"/>
      <x:c r="K856" s="92"/>
      <x:c r="L856" s="92"/>
      <x:c r="M856" s="92"/>
      <x:c r="N856" s="92"/>
      <x:c r="O856" s="92"/>
      <x:c r="P856" s="92"/>
      <x:c r="Q856" s="92"/>
      <x:c r="R856" s="92"/>
      <x:c r="S856" s="92"/>
      <x:c r="T856" s="92"/>
      <x:c r="U856" s="92"/>
      <x:c r="V856" s="92"/>
      <x:c r="W856" s="92"/>
      <x:c r="X856" s="92"/>
      <x:c r="Y856" s="92"/>
      <x:c r="Z856" s="92"/>
    </x:row>
    <x:row r="857" spans="1:26">
      <x:c r="A857" s="106"/>
      <x:c r="B857" s="106"/>
      <x:c r="C857" s="106"/>
      <x:c r="D857" s="107"/>
      <x:c r="E857" s="108"/>
      <x:c r="F857" s="106"/>
      <x:c r="G857" s="106"/>
      <x:c r="H857" s="109"/>
      <x:c r="I857" s="110"/>
      <x:c r="J857" s="100"/>
      <x:c r="K857" s="100"/>
      <x:c r="L857" s="100"/>
      <x:c r="M857" s="100"/>
      <x:c r="N857" s="100"/>
      <x:c r="O857" s="100"/>
      <x:c r="P857" s="100"/>
      <x:c r="Q857" s="100"/>
      <x:c r="R857" s="100"/>
      <x:c r="S857" s="100"/>
      <x:c r="T857" s="100"/>
      <x:c r="U857" s="100"/>
      <x:c r="V857" s="100"/>
      <x:c r="W857" s="100"/>
      <x:c r="X857" s="100"/>
      <x:c r="Y857" s="100"/>
      <x:c r="Z857" s="100"/>
    </x:row>
    <x:row r="858" spans="1:26">
      <x:c r="A858" s="111"/>
      <x:c r="B858" s="111"/>
      <x:c r="C858" s="111"/>
      <x:c r="D858" s="112"/>
      <x:c r="E858" s="113"/>
      <x:c r="F858" s="111"/>
      <x:c r="G858" s="111"/>
      <x:c r="H858" s="114"/>
      <x:c r="I858" s="115"/>
      <x:c r="J858" s="92"/>
      <x:c r="K858" s="92"/>
      <x:c r="L858" s="92"/>
      <x:c r="M858" s="92"/>
      <x:c r="N858" s="92"/>
      <x:c r="O858" s="92"/>
      <x:c r="P858" s="92"/>
      <x:c r="Q858" s="92"/>
      <x:c r="R858" s="92"/>
      <x:c r="S858" s="92"/>
      <x:c r="T858" s="92"/>
      <x:c r="U858" s="92"/>
      <x:c r="V858" s="92"/>
      <x:c r="W858" s="92"/>
      <x:c r="X858" s="92"/>
      <x:c r="Y858" s="92"/>
      <x:c r="Z858" s="92"/>
    </x:row>
    <x:row r="859" spans="1:26">
      <x:c r="A859" s="106"/>
      <x:c r="B859" s="106"/>
      <x:c r="C859" s="106"/>
      <x:c r="D859" s="107"/>
      <x:c r="E859" s="108"/>
      <x:c r="F859" s="106"/>
      <x:c r="G859" s="106"/>
      <x:c r="H859" s="109"/>
      <x:c r="I859" s="110"/>
      <x:c r="J859" s="100"/>
      <x:c r="K859" s="100"/>
      <x:c r="L859" s="100"/>
      <x:c r="M859" s="100"/>
      <x:c r="N859" s="100"/>
      <x:c r="O859" s="100"/>
      <x:c r="P859" s="100"/>
      <x:c r="Q859" s="100"/>
      <x:c r="R859" s="100"/>
      <x:c r="S859" s="100"/>
      <x:c r="T859" s="100"/>
      <x:c r="U859" s="100"/>
      <x:c r="V859" s="100"/>
      <x:c r="W859" s="100"/>
      <x:c r="X859" s="100"/>
      <x:c r="Y859" s="100"/>
      <x:c r="Z859" s="100"/>
    </x:row>
    <x:row r="860" spans="1:26">
      <x:c r="A860" s="111"/>
      <x:c r="B860" s="111"/>
      <x:c r="C860" s="111"/>
      <x:c r="D860" s="112"/>
      <x:c r="E860" s="113"/>
      <x:c r="F860" s="111"/>
      <x:c r="G860" s="111"/>
      <x:c r="H860" s="114"/>
      <x:c r="I860" s="115"/>
      <x:c r="J860" s="92"/>
      <x:c r="K860" s="92"/>
      <x:c r="L860" s="92"/>
      <x:c r="M860" s="92"/>
      <x:c r="N860" s="92"/>
      <x:c r="O860" s="92"/>
      <x:c r="P860" s="92"/>
      <x:c r="Q860" s="92"/>
      <x:c r="R860" s="92"/>
      <x:c r="S860" s="92"/>
      <x:c r="T860" s="92"/>
      <x:c r="U860" s="92"/>
      <x:c r="V860" s="92"/>
      <x:c r="W860" s="92"/>
      <x:c r="X860" s="92"/>
      <x:c r="Y860" s="92"/>
      <x:c r="Z860" s="92"/>
    </x:row>
    <x:row r="861" spans="1:26">
      <x:c r="A861" s="106"/>
      <x:c r="B861" s="106"/>
      <x:c r="C861" s="106"/>
      <x:c r="D861" s="107"/>
      <x:c r="E861" s="108"/>
      <x:c r="F861" s="106"/>
      <x:c r="G861" s="106"/>
      <x:c r="H861" s="109"/>
      <x:c r="I861" s="110"/>
      <x:c r="J861" s="100"/>
      <x:c r="K861" s="100"/>
      <x:c r="L861" s="100"/>
      <x:c r="M861" s="100"/>
      <x:c r="N861" s="100"/>
      <x:c r="O861" s="100"/>
      <x:c r="P861" s="100"/>
      <x:c r="Q861" s="100"/>
      <x:c r="R861" s="100"/>
      <x:c r="S861" s="100"/>
      <x:c r="T861" s="100"/>
      <x:c r="U861" s="100"/>
      <x:c r="V861" s="100"/>
      <x:c r="W861" s="100"/>
      <x:c r="X861" s="100"/>
      <x:c r="Y861" s="100"/>
      <x:c r="Z861" s="100"/>
    </x:row>
    <x:row r="862" spans="1:26">
      <x:c r="A862" s="111"/>
      <x:c r="B862" s="111"/>
      <x:c r="C862" s="111"/>
      <x:c r="D862" s="112"/>
      <x:c r="E862" s="113"/>
      <x:c r="F862" s="111"/>
      <x:c r="G862" s="111"/>
      <x:c r="H862" s="114"/>
      <x:c r="I862" s="115"/>
      <x:c r="J862" s="92"/>
      <x:c r="K862" s="92"/>
      <x:c r="L862" s="92"/>
      <x:c r="M862" s="92"/>
      <x:c r="N862" s="92"/>
      <x:c r="O862" s="92"/>
      <x:c r="P862" s="92"/>
      <x:c r="Q862" s="92"/>
      <x:c r="R862" s="92"/>
      <x:c r="S862" s="92"/>
      <x:c r="T862" s="92"/>
      <x:c r="U862" s="92"/>
      <x:c r="V862" s="92"/>
      <x:c r="W862" s="92"/>
      <x:c r="X862" s="92"/>
      <x:c r="Y862" s="92"/>
      <x:c r="Z862" s="92"/>
    </x:row>
    <x:row r="863" spans="1:26">
      <x:c r="A863" s="106"/>
      <x:c r="B863" s="106"/>
      <x:c r="C863" s="106"/>
      <x:c r="D863" s="107"/>
      <x:c r="E863" s="108"/>
      <x:c r="F863" s="106"/>
      <x:c r="G863" s="106"/>
      <x:c r="H863" s="109"/>
      <x:c r="I863" s="110"/>
      <x:c r="J863" s="100"/>
      <x:c r="K863" s="100"/>
      <x:c r="L863" s="100"/>
      <x:c r="M863" s="100"/>
      <x:c r="N863" s="100"/>
      <x:c r="O863" s="100"/>
      <x:c r="P863" s="100"/>
      <x:c r="Q863" s="100"/>
      <x:c r="R863" s="100"/>
      <x:c r="S863" s="100"/>
      <x:c r="T863" s="100"/>
      <x:c r="U863" s="100"/>
      <x:c r="V863" s="100"/>
      <x:c r="W863" s="100"/>
      <x:c r="X863" s="100"/>
      <x:c r="Y863" s="100"/>
      <x:c r="Z863" s="100"/>
    </x:row>
    <x:row r="864" spans="1:26">
      <x:c r="A864" s="111"/>
      <x:c r="B864" s="111"/>
      <x:c r="C864" s="111"/>
      <x:c r="D864" s="112"/>
      <x:c r="E864" s="113"/>
      <x:c r="F864" s="111"/>
      <x:c r="G864" s="111"/>
      <x:c r="H864" s="114"/>
      <x:c r="I864" s="115"/>
      <x:c r="J864" s="92"/>
      <x:c r="K864" s="92"/>
      <x:c r="L864" s="92"/>
      <x:c r="M864" s="92"/>
      <x:c r="N864" s="92"/>
      <x:c r="O864" s="92"/>
      <x:c r="P864" s="92"/>
      <x:c r="Q864" s="92"/>
      <x:c r="R864" s="92"/>
      <x:c r="S864" s="92"/>
      <x:c r="T864" s="92"/>
      <x:c r="U864" s="92"/>
      <x:c r="V864" s="92"/>
      <x:c r="W864" s="92"/>
      <x:c r="X864" s="92"/>
      <x:c r="Y864" s="92"/>
      <x:c r="Z864" s="92"/>
    </x:row>
    <x:row r="865" spans="1:26">
      <x:c r="A865" s="106"/>
      <x:c r="B865" s="106"/>
      <x:c r="C865" s="106"/>
      <x:c r="D865" s="107"/>
      <x:c r="E865" s="108"/>
      <x:c r="F865" s="106"/>
      <x:c r="G865" s="106"/>
      <x:c r="H865" s="109"/>
      <x:c r="I865" s="110"/>
      <x:c r="J865" s="100"/>
      <x:c r="K865" s="100"/>
      <x:c r="L865" s="100"/>
      <x:c r="M865" s="100"/>
      <x:c r="N865" s="100"/>
      <x:c r="O865" s="100"/>
      <x:c r="P865" s="100"/>
      <x:c r="Q865" s="100"/>
      <x:c r="R865" s="100"/>
      <x:c r="S865" s="100"/>
      <x:c r="T865" s="100"/>
      <x:c r="U865" s="100"/>
      <x:c r="V865" s="100"/>
      <x:c r="W865" s="100"/>
      <x:c r="X865" s="100"/>
      <x:c r="Y865" s="100"/>
      <x:c r="Z865" s="100"/>
    </x:row>
    <x:row r="866" spans="1:26">
      <x:c r="A866" s="111"/>
      <x:c r="B866" s="111"/>
      <x:c r="C866" s="111"/>
      <x:c r="D866" s="112"/>
      <x:c r="E866" s="113"/>
      <x:c r="F866" s="111"/>
      <x:c r="G866" s="111"/>
      <x:c r="H866" s="114"/>
      <x:c r="I866" s="115"/>
      <x:c r="J866" s="92"/>
      <x:c r="K866" s="92"/>
      <x:c r="L866" s="92"/>
      <x:c r="M866" s="92"/>
      <x:c r="N866" s="92"/>
      <x:c r="O866" s="92"/>
      <x:c r="P866" s="92"/>
      <x:c r="Q866" s="92"/>
      <x:c r="R866" s="92"/>
      <x:c r="S866" s="92"/>
      <x:c r="T866" s="92"/>
      <x:c r="U866" s="92"/>
      <x:c r="V866" s="92"/>
      <x:c r="W866" s="92"/>
      <x:c r="X866" s="92"/>
      <x:c r="Y866" s="92"/>
      <x:c r="Z866" s="92"/>
    </x:row>
    <x:row r="867" spans="1:26">
      <x:c r="A867" s="106"/>
      <x:c r="B867" s="106"/>
      <x:c r="C867" s="106"/>
      <x:c r="D867" s="107"/>
      <x:c r="E867" s="108"/>
      <x:c r="F867" s="106"/>
      <x:c r="G867" s="106"/>
      <x:c r="H867" s="109"/>
      <x:c r="I867" s="110"/>
      <x:c r="J867" s="100"/>
      <x:c r="K867" s="100"/>
      <x:c r="L867" s="100"/>
      <x:c r="M867" s="100"/>
      <x:c r="N867" s="100"/>
      <x:c r="O867" s="100"/>
      <x:c r="P867" s="100"/>
      <x:c r="Q867" s="100"/>
      <x:c r="R867" s="100"/>
      <x:c r="S867" s="100"/>
      <x:c r="T867" s="100"/>
      <x:c r="U867" s="100"/>
      <x:c r="V867" s="100"/>
      <x:c r="W867" s="100"/>
      <x:c r="X867" s="100"/>
      <x:c r="Y867" s="100"/>
      <x:c r="Z867" s="100"/>
    </x:row>
    <x:row r="868" spans="1:26">
      <x:c r="A868" s="111"/>
      <x:c r="B868" s="111"/>
      <x:c r="C868" s="111"/>
      <x:c r="D868" s="112"/>
      <x:c r="E868" s="113"/>
      <x:c r="F868" s="111"/>
      <x:c r="G868" s="111"/>
      <x:c r="H868" s="114"/>
      <x:c r="I868" s="115"/>
      <x:c r="J868" s="92"/>
      <x:c r="K868" s="92"/>
      <x:c r="L868" s="92"/>
      <x:c r="M868" s="92"/>
      <x:c r="N868" s="92"/>
      <x:c r="O868" s="92"/>
      <x:c r="P868" s="92"/>
      <x:c r="Q868" s="92"/>
      <x:c r="R868" s="92"/>
      <x:c r="S868" s="92"/>
      <x:c r="T868" s="92"/>
      <x:c r="U868" s="92"/>
      <x:c r="V868" s="92"/>
      <x:c r="W868" s="92"/>
      <x:c r="X868" s="92"/>
      <x:c r="Y868" s="92"/>
      <x:c r="Z868" s="92"/>
    </x:row>
    <x:row r="869" spans="1:26">
      <x:c r="A869" s="106"/>
      <x:c r="B869" s="106"/>
      <x:c r="C869" s="106"/>
      <x:c r="D869" s="107"/>
      <x:c r="E869" s="108"/>
      <x:c r="F869" s="106"/>
      <x:c r="G869" s="106"/>
      <x:c r="H869" s="109"/>
      <x:c r="I869" s="110"/>
      <x:c r="J869" s="100"/>
      <x:c r="K869" s="100"/>
      <x:c r="L869" s="100"/>
      <x:c r="M869" s="100"/>
      <x:c r="N869" s="100"/>
      <x:c r="O869" s="100"/>
      <x:c r="P869" s="100"/>
      <x:c r="Q869" s="100"/>
      <x:c r="R869" s="100"/>
      <x:c r="S869" s="100"/>
      <x:c r="T869" s="100"/>
      <x:c r="U869" s="100"/>
      <x:c r="V869" s="100"/>
      <x:c r="W869" s="100"/>
      <x:c r="X869" s="100"/>
      <x:c r="Y869" s="100"/>
      <x:c r="Z869" s="100"/>
    </x:row>
    <x:row r="870" spans="1:26">
      <x:c r="A870" s="111"/>
      <x:c r="B870" s="111"/>
      <x:c r="C870" s="111"/>
      <x:c r="D870" s="112"/>
      <x:c r="E870" s="113"/>
      <x:c r="F870" s="111"/>
      <x:c r="G870" s="111"/>
      <x:c r="H870" s="114"/>
      <x:c r="I870" s="115"/>
      <x:c r="J870" s="92"/>
      <x:c r="K870" s="92"/>
      <x:c r="L870" s="92"/>
      <x:c r="M870" s="92"/>
      <x:c r="N870" s="92"/>
      <x:c r="O870" s="92"/>
      <x:c r="P870" s="92"/>
      <x:c r="Q870" s="92"/>
      <x:c r="R870" s="92"/>
      <x:c r="S870" s="92"/>
      <x:c r="T870" s="92"/>
      <x:c r="U870" s="92"/>
      <x:c r="V870" s="92"/>
      <x:c r="W870" s="92"/>
      <x:c r="X870" s="92"/>
      <x:c r="Y870" s="92"/>
      <x:c r="Z870" s="92"/>
    </x:row>
    <x:row r="871" spans="1:26">
      <x:c r="A871" s="106"/>
      <x:c r="B871" s="106"/>
      <x:c r="C871" s="106"/>
      <x:c r="D871" s="107"/>
      <x:c r="E871" s="108"/>
      <x:c r="F871" s="106"/>
      <x:c r="G871" s="106"/>
      <x:c r="H871" s="109"/>
      <x:c r="I871" s="110"/>
      <x:c r="J871" s="100"/>
      <x:c r="K871" s="100"/>
      <x:c r="L871" s="100"/>
      <x:c r="M871" s="100"/>
      <x:c r="N871" s="100"/>
      <x:c r="O871" s="100"/>
      <x:c r="P871" s="100"/>
      <x:c r="Q871" s="100"/>
      <x:c r="R871" s="100"/>
      <x:c r="S871" s="100"/>
      <x:c r="T871" s="100"/>
      <x:c r="U871" s="100"/>
      <x:c r="V871" s="100"/>
      <x:c r="W871" s="100"/>
      <x:c r="X871" s="100"/>
      <x:c r="Y871" s="100"/>
      <x:c r="Z871" s="100"/>
    </x:row>
    <x:row r="872" spans="1:26">
      <x:c r="A872" s="111"/>
      <x:c r="B872" s="111"/>
      <x:c r="C872" s="111"/>
      <x:c r="D872" s="112"/>
      <x:c r="E872" s="113"/>
      <x:c r="F872" s="111"/>
      <x:c r="G872" s="111"/>
      <x:c r="H872" s="114"/>
      <x:c r="I872" s="115"/>
      <x:c r="J872" s="92"/>
      <x:c r="K872" s="92"/>
      <x:c r="L872" s="92"/>
      <x:c r="M872" s="92"/>
      <x:c r="N872" s="92"/>
      <x:c r="O872" s="92"/>
      <x:c r="P872" s="92"/>
      <x:c r="Q872" s="92"/>
      <x:c r="R872" s="92"/>
      <x:c r="S872" s="92"/>
      <x:c r="T872" s="92"/>
      <x:c r="U872" s="92"/>
      <x:c r="V872" s="92"/>
      <x:c r="W872" s="92"/>
      <x:c r="X872" s="92"/>
      <x:c r="Y872" s="92"/>
      <x:c r="Z872" s="92"/>
    </x:row>
    <x:row r="873" spans="1:26">
      <x:c r="A873" s="106"/>
      <x:c r="B873" s="106"/>
      <x:c r="C873" s="106"/>
      <x:c r="D873" s="107"/>
      <x:c r="E873" s="108"/>
      <x:c r="F873" s="106"/>
      <x:c r="G873" s="106"/>
      <x:c r="H873" s="109"/>
      <x:c r="I873" s="110"/>
      <x:c r="J873" s="100"/>
      <x:c r="K873" s="100"/>
      <x:c r="L873" s="100"/>
      <x:c r="M873" s="100"/>
      <x:c r="N873" s="100"/>
      <x:c r="O873" s="100"/>
      <x:c r="P873" s="100"/>
      <x:c r="Q873" s="100"/>
      <x:c r="R873" s="100"/>
      <x:c r="S873" s="100"/>
      <x:c r="T873" s="100"/>
      <x:c r="U873" s="100"/>
      <x:c r="V873" s="100"/>
      <x:c r="W873" s="100"/>
      <x:c r="X873" s="100"/>
      <x:c r="Y873" s="100"/>
      <x:c r="Z873" s="100"/>
    </x:row>
    <x:row r="874" spans="1:26">
      <x:c r="A874" s="111"/>
      <x:c r="B874" s="111"/>
      <x:c r="C874" s="111"/>
      <x:c r="D874" s="112"/>
      <x:c r="E874" s="113"/>
      <x:c r="F874" s="111"/>
      <x:c r="G874" s="111"/>
      <x:c r="H874" s="114"/>
      <x:c r="I874" s="115"/>
      <x:c r="J874" s="92"/>
      <x:c r="K874" s="92"/>
      <x:c r="L874" s="92"/>
      <x:c r="M874" s="92"/>
      <x:c r="N874" s="92"/>
      <x:c r="O874" s="92"/>
      <x:c r="P874" s="92"/>
      <x:c r="Q874" s="92"/>
      <x:c r="R874" s="92"/>
      <x:c r="S874" s="92"/>
      <x:c r="T874" s="92"/>
      <x:c r="U874" s="92"/>
      <x:c r="V874" s="92"/>
      <x:c r="W874" s="92"/>
      <x:c r="X874" s="92"/>
      <x:c r="Y874" s="92"/>
      <x:c r="Z874" s="92"/>
    </x:row>
    <x:row r="875" spans="1:26">
      <x:c r="A875" s="106"/>
      <x:c r="B875" s="106"/>
      <x:c r="C875" s="106"/>
      <x:c r="D875" s="107"/>
      <x:c r="E875" s="108"/>
      <x:c r="F875" s="106"/>
      <x:c r="G875" s="106"/>
      <x:c r="H875" s="109"/>
      <x:c r="I875" s="110"/>
      <x:c r="J875" s="100"/>
      <x:c r="K875" s="100"/>
      <x:c r="L875" s="100"/>
      <x:c r="M875" s="100"/>
      <x:c r="N875" s="100"/>
      <x:c r="O875" s="100"/>
      <x:c r="P875" s="100"/>
      <x:c r="Q875" s="100"/>
      <x:c r="R875" s="100"/>
      <x:c r="S875" s="100"/>
      <x:c r="T875" s="100"/>
      <x:c r="U875" s="100"/>
      <x:c r="V875" s="100"/>
      <x:c r="W875" s="100"/>
      <x:c r="X875" s="100"/>
      <x:c r="Y875" s="100"/>
      <x:c r="Z875" s="100"/>
    </x:row>
    <x:row r="876" spans="1:26">
      <x:c r="A876" s="111"/>
      <x:c r="B876" s="111"/>
      <x:c r="C876" s="111"/>
      <x:c r="D876" s="112"/>
      <x:c r="E876" s="113"/>
      <x:c r="F876" s="111"/>
      <x:c r="G876" s="111"/>
      <x:c r="H876" s="114"/>
      <x:c r="I876" s="115"/>
      <x:c r="J876" s="92"/>
      <x:c r="K876" s="92"/>
      <x:c r="L876" s="92"/>
      <x:c r="M876" s="92"/>
      <x:c r="N876" s="92"/>
      <x:c r="O876" s="92"/>
      <x:c r="P876" s="92"/>
      <x:c r="Q876" s="92"/>
      <x:c r="R876" s="92"/>
      <x:c r="S876" s="92"/>
      <x:c r="T876" s="92"/>
      <x:c r="U876" s="92"/>
      <x:c r="V876" s="92"/>
      <x:c r="W876" s="92"/>
      <x:c r="X876" s="92"/>
      <x:c r="Y876" s="92"/>
      <x:c r="Z876" s="92"/>
    </x:row>
    <x:row r="877" spans="1:26">
      <x:c r="A877" s="106"/>
      <x:c r="B877" s="106"/>
      <x:c r="C877" s="106"/>
      <x:c r="D877" s="107"/>
      <x:c r="E877" s="108"/>
      <x:c r="F877" s="106"/>
      <x:c r="G877" s="106"/>
      <x:c r="H877" s="109"/>
      <x:c r="I877" s="110"/>
      <x:c r="J877" s="100"/>
      <x:c r="K877" s="100"/>
      <x:c r="L877" s="100"/>
      <x:c r="M877" s="100"/>
      <x:c r="N877" s="100"/>
      <x:c r="O877" s="100"/>
      <x:c r="P877" s="100"/>
      <x:c r="Q877" s="100"/>
      <x:c r="R877" s="100"/>
      <x:c r="S877" s="100"/>
      <x:c r="T877" s="100"/>
      <x:c r="U877" s="100"/>
      <x:c r="V877" s="100"/>
      <x:c r="W877" s="100"/>
      <x:c r="X877" s="100"/>
      <x:c r="Y877" s="100"/>
      <x:c r="Z877" s="100"/>
    </x:row>
    <x:row r="878" spans="1:26">
      <x:c r="A878" s="111"/>
      <x:c r="B878" s="111"/>
      <x:c r="C878" s="111"/>
      <x:c r="D878" s="112"/>
      <x:c r="E878" s="113"/>
      <x:c r="F878" s="111"/>
      <x:c r="G878" s="111"/>
      <x:c r="H878" s="114"/>
      <x:c r="I878" s="115"/>
      <x:c r="J878" s="92"/>
      <x:c r="K878" s="92"/>
      <x:c r="L878" s="92"/>
      <x:c r="M878" s="92"/>
      <x:c r="N878" s="92"/>
      <x:c r="O878" s="92"/>
      <x:c r="P878" s="92"/>
      <x:c r="Q878" s="92"/>
      <x:c r="R878" s="92"/>
      <x:c r="S878" s="92"/>
      <x:c r="T878" s="92"/>
      <x:c r="U878" s="92"/>
      <x:c r="V878" s="92"/>
      <x:c r="W878" s="92"/>
      <x:c r="X878" s="92"/>
      <x:c r="Y878" s="92"/>
      <x:c r="Z878" s="92"/>
    </x:row>
    <x:row r="879" spans="1:26">
      <x:c r="A879" s="106"/>
      <x:c r="B879" s="106"/>
      <x:c r="C879" s="106"/>
      <x:c r="D879" s="107"/>
      <x:c r="E879" s="108"/>
      <x:c r="F879" s="106"/>
      <x:c r="G879" s="106"/>
      <x:c r="H879" s="109"/>
      <x:c r="I879" s="110"/>
      <x:c r="J879" s="100"/>
      <x:c r="K879" s="100"/>
      <x:c r="L879" s="100"/>
      <x:c r="M879" s="100"/>
      <x:c r="N879" s="100"/>
      <x:c r="O879" s="100"/>
      <x:c r="P879" s="100"/>
      <x:c r="Q879" s="100"/>
      <x:c r="R879" s="100"/>
      <x:c r="S879" s="100"/>
      <x:c r="T879" s="100"/>
      <x:c r="U879" s="100"/>
      <x:c r="V879" s="100"/>
      <x:c r="W879" s="100"/>
      <x:c r="X879" s="100"/>
      <x:c r="Y879" s="100"/>
      <x:c r="Z879" s="100"/>
    </x:row>
    <x:row r="880" spans="1:26">
      <x:c r="A880" s="111"/>
      <x:c r="B880" s="111"/>
      <x:c r="C880" s="111"/>
      <x:c r="D880" s="112"/>
      <x:c r="E880" s="113"/>
      <x:c r="F880" s="111"/>
      <x:c r="G880" s="111"/>
      <x:c r="H880" s="114"/>
      <x:c r="I880" s="115"/>
      <x:c r="J880" s="92"/>
      <x:c r="K880" s="92"/>
      <x:c r="L880" s="92"/>
      <x:c r="M880" s="92"/>
      <x:c r="N880" s="92"/>
      <x:c r="O880" s="92"/>
      <x:c r="P880" s="92"/>
      <x:c r="Q880" s="92"/>
      <x:c r="R880" s="92"/>
      <x:c r="S880" s="92"/>
      <x:c r="T880" s="92"/>
      <x:c r="U880" s="92"/>
      <x:c r="V880" s="92"/>
      <x:c r="W880" s="92"/>
      <x:c r="X880" s="92"/>
      <x:c r="Y880" s="92"/>
      <x:c r="Z880" s="92"/>
    </x:row>
    <x:row r="881" spans="1:26">
      <x:c r="A881" s="106"/>
      <x:c r="B881" s="106"/>
      <x:c r="C881" s="106"/>
      <x:c r="D881" s="107"/>
      <x:c r="E881" s="108"/>
      <x:c r="F881" s="106"/>
      <x:c r="G881" s="106"/>
      <x:c r="H881" s="109"/>
      <x:c r="I881" s="110"/>
      <x:c r="J881" s="100"/>
      <x:c r="K881" s="100"/>
      <x:c r="L881" s="100"/>
      <x:c r="M881" s="100"/>
      <x:c r="N881" s="100"/>
      <x:c r="O881" s="100"/>
      <x:c r="P881" s="100"/>
      <x:c r="Q881" s="100"/>
      <x:c r="R881" s="100"/>
      <x:c r="S881" s="100"/>
      <x:c r="T881" s="100"/>
      <x:c r="U881" s="100"/>
      <x:c r="V881" s="100"/>
      <x:c r="W881" s="100"/>
      <x:c r="X881" s="100"/>
      <x:c r="Y881" s="100"/>
      <x:c r="Z881" s="100"/>
    </x:row>
    <x:row r="882" spans="1:26">
      <x:c r="A882" s="111"/>
      <x:c r="B882" s="111"/>
      <x:c r="C882" s="111"/>
      <x:c r="D882" s="112"/>
      <x:c r="E882" s="113"/>
      <x:c r="F882" s="111"/>
      <x:c r="G882" s="111"/>
      <x:c r="H882" s="114"/>
      <x:c r="I882" s="115"/>
      <x:c r="J882" s="92"/>
      <x:c r="K882" s="92"/>
      <x:c r="L882" s="92"/>
      <x:c r="M882" s="92"/>
      <x:c r="N882" s="92"/>
      <x:c r="O882" s="92"/>
      <x:c r="P882" s="92"/>
      <x:c r="Q882" s="92"/>
      <x:c r="R882" s="92"/>
      <x:c r="S882" s="92"/>
      <x:c r="T882" s="92"/>
      <x:c r="U882" s="92"/>
      <x:c r="V882" s="92"/>
      <x:c r="W882" s="92"/>
      <x:c r="X882" s="92"/>
      <x:c r="Y882" s="92"/>
      <x:c r="Z882" s="92"/>
    </x:row>
    <x:row r="883" spans="1:26">
      <x:c r="A883" s="106"/>
      <x:c r="B883" s="106"/>
      <x:c r="C883" s="106"/>
      <x:c r="D883" s="107"/>
      <x:c r="E883" s="108"/>
      <x:c r="F883" s="106"/>
      <x:c r="G883" s="106"/>
      <x:c r="H883" s="109"/>
      <x:c r="I883" s="110"/>
      <x:c r="J883" s="100"/>
      <x:c r="K883" s="100"/>
      <x:c r="L883" s="100"/>
      <x:c r="M883" s="100"/>
      <x:c r="N883" s="100"/>
      <x:c r="O883" s="100"/>
      <x:c r="P883" s="100"/>
      <x:c r="Q883" s="100"/>
      <x:c r="R883" s="100"/>
      <x:c r="S883" s="100"/>
      <x:c r="T883" s="100"/>
      <x:c r="U883" s="100"/>
      <x:c r="V883" s="100"/>
      <x:c r="W883" s="100"/>
      <x:c r="X883" s="100"/>
      <x:c r="Y883" s="100"/>
      <x:c r="Z883" s="100"/>
    </x:row>
    <x:row r="884" spans="1:26">
      <x:c r="A884" s="111"/>
      <x:c r="B884" s="111"/>
      <x:c r="C884" s="111"/>
      <x:c r="D884" s="112"/>
      <x:c r="E884" s="113"/>
      <x:c r="F884" s="111"/>
      <x:c r="G884" s="111"/>
      <x:c r="H884" s="114"/>
      <x:c r="I884" s="115"/>
      <x:c r="J884" s="92"/>
      <x:c r="K884" s="92"/>
      <x:c r="L884" s="92"/>
      <x:c r="M884" s="92"/>
      <x:c r="N884" s="92"/>
      <x:c r="O884" s="92"/>
      <x:c r="P884" s="92"/>
      <x:c r="Q884" s="92"/>
      <x:c r="R884" s="92"/>
      <x:c r="S884" s="92"/>
      <x:c r="T884" s="92"/>
      <x:c r="U884" s="92"/>
      <x:c r="V884" s="92"/>
      <x:c r="W884" s="92"/>
      <x:c r="X884" s="92"/>
      <x:c r="Y884" s="92"/>
      <x:c r="Z884" s="92"/>
    </x:row>
    <x:row r="885" spans="1:26">
      <x:c r="A885" s="106"/>
      <x:c r="B885" s="106"/>
      <x:c r="C885" s="106"/>
      <x:c r="D885" s="107"/>
      <x:c r="E885" s="108"/>
      <x:c r="F885" s="106"/>
      <x:c r="G885" s="106"/>
      <x:c r="H885" s="109"/>
      <x:c r="I885" s="110"/>
      <x:c r="J885" s="100"/>
      <x:c r="K885" s="100"/>
      <x:c r="L885" s="100"/>
      <x:c r="M885" s="100"/>
      <x:c r="N885" s="100"/>
      <x:c r="O885" s="100"/>
      <x:c r="P885" s="100"/>
      <x:c r="Q885" s="100"/>
      <x:c r="R885" s="100"/>
      <x:c r="S885" s="100"/>
      <x:c r="T885" s="100"/>
      <x:c r="U885" s="100"/>
      <x:c r="V885" s="100"/>
      <x:c r="W885" s="100"/>
      <x:c r="X885" s="100"/>
      <x:c r="Y885" s="100"/>
      <x:c r="Z885" s="100"/>
    </x:row>
    <x:row r="886" spans="1:26">
      <x:c r="A886" s="111"/>
      <x:c r="B886" s="111"/>
      <x:c r="C886" s="111"/>
      <x:c r="D886" s="112"/>
      <x:c r="E886" s="113"/>
      <x:c r="F886" s="111"/>
      <x:c r="G886" s="111"/>
      <x:c r="H886" s="114"/>
      <x:c r="I886" s="115"/>
      <x:c r="J886" s="92"/>
      <x:c r="K886" s="92"/>
      <x:c r="L886" s="92"/>
      <x:c r="M886" s="92"/>
      <x:c r="N886" s="92"/>
      <x:c r="O886" s="92"/>
      <x:c r="P886" s="92"/>
      <x:c r="Q886" s="92"/>
      <x:c r="R886" s="92"/>
      <x:c r="S886" s="92"/>
      <x:c r="T886" s="92"/>
      <x:c r="U886" s="92"/>
      <x:c r="V886" s="92"/>
      <x:c r="W886" s="92"/>
      <x:c r="X886" s="92"/>
      <x:c r="Y886" s="92"/>
      <x:c r="Z886" s="92"/>
    </x:row>
    <x:row r="887" spans="1:26">
      <x:c r="A887" s="106"/>
      <x:c r="B887" s="106"/>
      <x:c r="C887" s="106"/>
      <x:c r="D887" s="107"/>
      <x:c r="E887" s="108"/>
      <x:c r="F887" s="106"/>
      <x:c r="G887" s="106"/>
      <x:c r="H887" s="109"/>
      <x:c r="I887" s="110"/>
      <x:c r="J887" s="100"/>
      <x:c r="K887" s="100"/>
      <x:c r="L887" s="100"/>
      <x:c r="M887" s="100"/>
      <x:c r="N887" s="100"/>
      <x:c r="O887" s="100"/>
      <x:c r="P887" s="100"/>
      <x:c r="Q887" s="100"/>
      <x:c r="R887" s="100"/>
      <x:c r="S887" s="100"/>
      <x:c r="T887" s="100"/>
      <x:c r="U887" s="100"/>
      <x:c r="V887" s="100"/>
      <x:c r="W887" s="100"/>
      <x:c r="X887" s="100"/>
      <x:c r="Y887" s="100"/>
      <x:c r="Z887" s="100"/>
    </x:row>
    <x:row r="888" spans="1:26">
      <x:c r="A888" s="111"/>
      <x:c r="B888" s="111"/>
      <x:c r="C888" s="111"/>
      <x:c r="D888" s="112"/>
      <x:c r="E888" s="113"/>
      <x:c r="F888" s="111"/>
      <x:c r="G888" s="111"/>
      <x:c r="H888" s="114"/>
      <x:c r="I888" s="115"/>
      <x:c r="J888" s="92"/>
      <x:c r="K888" s="92"/>
      <x:c r="L888" s="92"/>
      <x:c r="M888" s="92"/>
      <x:c r="N888" s="92"/>
      <x:c r="O888" s="92"/>
      <x:c r="P888" s="92"/>
      <x:c r="Q888" s="92"/>
      <x:c r="R888" s="92"/>
      <x:c r="S888" s="92"/>
      <x:c r="T888" s="92"/>
      <x:c r="U888" s="92"/>
      <x:c r="V888" s="92"/>
      <x:c r="W888" s="92"/>
      <x:c r="X888" s="92"/>
      <x:c r="Y888" s="92"/>
      <x:c r="Z888" s="92"/>
    </x:row>
    <x:row r="889" spans="1:26">
      <x:c r="A889" s="106"/>
      <x:c r="B889" s="106"/>
      <x:c r="C889" s="106"/>
      <x:c r="D889" s="107"/>
      <x:c r="E889" s="108"/>
      <x:c r="F889" s="106"/>
      <x:c r="G889" s="106"/>
      <x:c r="H889" s="109"/>
      <x:c r="I889" s="110"/>
      <x:c r="J889" s="100"/>
      <x:c r="K889" s="100"/>
      <x:c r="L889" s="100"/>
      <x:c r="M889" s="100"/>
      <x:c r="N889" s="100"/>
      <x:c r="O889" s="100"/>
      <x:c r="P889" s="100"/>
      <x:c r="Q889" s="100"/>
      <x:c r="R889" s="100"/>
      <x:c r="S889" s="100"/>
      <x:c r="T889" s="100"/>
      <x:c r="U889" s="100"/>
      <x:c r="V889" s="100"/>
      <x:c r="W889" s="100"/>
      <x:c r="X889" s="100"/>
      <x:c r="Y889" s="100"/>
      <x:c r="Z889" s="100"/>
    </x:row>
    <x:row r="890" spans="1:26">
      <x:c r="A890" s="111"/>
      <x:c r="B890" s="111"/>
      <x:c r="C890" s="111"/>
      <x:c r="D890" s="112"/>
      <x:c r="E890" s="113"/>
      <x:c r="F890" s="111"/>
      <x:c r="G890" s="111"/>
      <x:c r="H890" s="114"/>
      <x:c r="I890" s="115"/>
      <x:c r="J890" s="92"/>
      <x:c r="K890" s="92"/>
      <x:c r="L890" s="92"/>
      <x:c r="M890" s="92"/>
      <x:c r="N890" s="92"/>
      <x:c r="O890" s="92"/>
      <x:c r="P890" s="92"/>
      <x:c r="Q890" s="92"/>
      <x:c r="R890" s="92"/>
      <x:c r="S890" s="92"/>
      <x:c r="T890" s="92"/>
      <x:c r="U890" s="92"/>
      <x:c r="V890" s="92"/>
      <x:c r="W890" s="92"/>
      <x:c r="X890" s="92"/>
      <x:c r="Y890" s="92"/>
      <x:c r="Z890" s="92"/>
    </x:row>
    <x:row r="891" spans="1:26">
      <x:c r="A891" s="106"/>
      <x:c r="B891" s="106"/>
      <x:c r="C891" s="106"/>
      <x:c r="D891" s="107"/>
      <x:c r="E891" s="108"/>
      <x:c r="F891" s="106"/>
      <x:c r="G891" s="106"/>
      <x:c r="H891" s="109"/>
      <x:c r="I891" s="110"/>
      <x:c r="J891" s="100"/>
      <x:c r="K891" s="100"/>
      <x:c r="L891" s="100"/>
      <x:c r="M891" s="100"/>
      <x:c r="N891" s="100"/>
      <x:c r="O891" s="100"/>
      <x:c r="P891" s="100"/>
      <x:c r="Q891" s="100"/>
      <x:c r="R891" s="100"/>
      <x:c r="S891" s="100"/>
      <x:c r="T891" s="100"/>
      <x:c r="U891" s="100"/>
      <x:c r="V891" s="100"/>
      <x:c r="W891" s="100"/>
      <x:c r="X891" s="100"/>
      <x:c r="Y891" s="100"/>
      <x:c r="Z891" s="100"/>
    </x:row>
    <x:row r="892" spans="1:26">
      <x:c r="A892" s="111"/>
      <x:c r="B892" s="111"/>
      <x:c r="C892" s="111"/>
      <x:c r="D892" s="112"/>
      <x:c r="E892" s="113"/>
      <x:c r="F892" s="111"/>
      <x:c r="G892" s="111"/>
      <x:c r="H892" s="114"/>
      <x:c r="I892" s="115"/>
      <x:c r="J892" s="92"/>
      <x:c r="K892" s="92"/>
      <x:c r="L892" s="92"/>
      <x:c r="M892" s="92"/>
      <x:c r="N892" s="92"/>
      <x:c r="O892" s="92"/>
      <x:c r="P892" s="92"/>
      <x:c r="Q892" s="92"/>
      <x:c r="R892" s="92"/>
      <x:c r="S892" s="92"/>
      <x:c r="T892" s="92"/>
      <x:c r="U892" s="92"/>
      <x:c r="V892" s="92"/>
      <x:c r="W892" s="92"/>
      <x:c r="X892" s="92"/>
      <x:c r="Y892" s="92"/>
      <x:c r="Z892" s="92"/>
    </x:row>
    <x:row r="893" spans="1:26">
      <x:c r="A893" s="106"/>
      <x:c r="B893" s="106"/>
      <x:c r="C893" s="106"/>
      <x:c r="D893" s="107"/>
      <x:c r="E893" s="108"/>
      <x:c r="F893" s="106"/>
      <x:c r="G893" s="106"/>
      <x:c r="H893" s="109"/>
      <x:c r="I893" s="110"/>
      <x:c r="J893" s="100"/>
      <x:c r="K893" s="100"/>
      <x:c r="L893" s="100"/>
      <x:c r="M893" s="100"/>
      <x:c r="N893" s="100"/>
      <x:c r="O893" s="100"/>
      <x:c r="P893" s="100"/>
      <x:c r="Q893" s="100"/>
      <x:c r="R893" s="100"/>
      <x:c r="S893" s="100"/>
      <x:c r="T893" s="100"/>
      <x:c r="U893" s="100"/>
      <x:c r="V893" s="100"/>
      <x:c r="W893" s="100"/>
      <x:c r="X893" s="100"/>
      <x:c r="Y893" s="100"/>
      <x:c r="Z893" s="100"/>
    </x:row>
    <x:row r="894" spans="1:26">
      <x:c r="A894" s="111"/>
      <x:c r="B894" s="111"/>
      <x:c r="C894" s="111"/>
      <x:c r="D894" s="112"/>
      <x:c r="E894" s="113"/>
      <x:c r="F894" s="111"/>
      <x:c r="G894" s="111"/>
      <x:c r="H894" s="114"/>
      <x:c r="I894" s="115"/>
      <x:c r="J894" s="92"/>
      <x:c r="K894" s="92"/>
      <x:c r="L894" s="92"/>
      <x:c r="M894" s="92"/>
      <x:c r="N894" s="92"/>
      <x:c r="O894" s="92"/>
      <x:c r="P894" s="92"/>
      <x:c r="Q894" s="92"/>
      <x:c r="R894" s="92"/>
      <x:c r="S894" s="92"/>
      <x:c r="T894" s="92"/>
      <x:c r="U894" s="92"/>
      <x:c r="V894" s="92"/>
      <x:c r="W894" s="92"/>
      <x:c r="X894" s="92"/>
      <x:c r="Y894" s="92"/>
      <x:c r="Z894" s="92"/>
    </x:row>
    <x:row r="895" spans="1:26">
      <x:c r="A895" s="106"/>
      <x:c r="B895" s="106"/>
      <x:c r="C895" s="106"/>
      <x:c r="D895" s="107"/>
      <x:c r="E895" s="108"/>
      <x:c r="F895" s="106"/>
      <x:c r="G895" s="106"/>
      <x:c r="H895" s="109"/>
      <x:c r="I895" s="110"/>
      <x:c r="J895" s="100"/>
      <x:c r="K895" s="100"/>
      <x:c r="L895" s="100"/>
      <x:c r="M895" s="100"/>
      <x:c r="N895" s="100"/>
      <x:c r="O895" s="100"/>
      <x:c r="P895" s="100"/>
      <x:c r="Q895" s="100"/>
      <x:c r="R895" s="100"/>
      <x:c r="S895" s="100"/>
      <x:c r="T895" s="100"/>
      <x:c r="U895" s="100"/>
      <x:c r="V895" s="100"/>
      <x:c r="W895" s="100"/>
      <x:c r="X895" s="100"/>
      <x:c r="Y895" s="100"/>
      <x:c r="Z895" s="100"/>
    </x:row>
    <x:row r="896" spans="1:26">
      <x:c r="A896" s="111"/>
      <x:c r="B896" s="111"/>
      <x:c r="C896" s="111"/>
      <x:c r="D896" s="112"/>
      <x:c r="E896" s="113"/>
      <x:c r="F896" s="111"/>
      <x:c r="G896" s="111"/>
      <x:c r="H896" s="114"/>
      <x:c r="I896" s="115"/>
      <x:c r="J896" s="92"/>
      <x:c r="K896" s="92"/>
      <x:c r="L896" s="92"/>
      <x:c r="M896" s="92"/>
      <x:c r="N896" s="92"/>
      <x:c r="O896" s="92"/>
      <x:c r="P896" s="92"/>
      <x:c r="Q896" s="92"/>
      <x:c r="R896" s="92"/>
      <x:c r="S896" s="92"/>
      <x:c r="T896" s="92"/>
      <x:c r="U896" s="92"/>
      <x:c r="V896" s="92"/>
      <x:c r="W896" s="92"/>
      <x:c r="X896" s="92"/>
      <x:c r="Y896" s="92"/>
      <x:c r="Z896" s="92"/>
    </x:row>
    <x:row r="897" spans="1:26">
      <x:c r="A897" s="106"/>
      <x:c r="B897" s="106"/>
      <x:c r="C897" s="106"/>
      <x:c r="D897" s="107"/>
      <x:c r="E897" s="108"/>
      <x:c r="F897" s="106"/>
      <x:c r="G897" s="106"/>
      <x:c r="H897" s="109"/>
      <x:c r="I897" s="110"/>
      <x:c r="J897" s="100"/>
      <x:c r="K897" s="100"/>
      <x:c r="L897" s="100"/>
      <x:c r="M897" s="100"/>
      <x:c r="N897" s="100"/>
      <x:c r="O897" s="100"/>
      <x:c r="P897" s="100"/>
      <x:c r="Q897" s="100"/>
      <x:c r="R897" s="100"/>
      <x:c r="S897" s="100"/>
      <x:c r="T897" s="100"/>
      <x:c r="U897" s="100"/>
      <x:c r="V897" s="100"/>
      <x:c r="W897" s="100"/>
      <x:c r="X897" s="100"/>
      <x:c r="Y897" s="100"/>
      <x:c r="Z897" s="100"/>
    </x:row>
    <x:row r="898" spans="1:26">
      <x:c r="A898" s="111"/>
      <x:c r="B898" s="111"/>
      <x:c r="C898" s="111"/>
      <x:c r="D898" s="112"/>
      <x:c r="E898" s="113"/>
      <x:c r="F898" s="111"/>
      <x:c r="G898" s="111"/>
      <x:c r="H898" s="114"/>
      <x:c r="I898" s="115"/>
      <x:c r="J898" s="92"/>
      <x:c r="K898" s="92"/>
      <x:c r="L898" s="92"/>
      <x:c r="M898" s="92"/>
      <x:c r="N898" s="92"/>
      <x:c r="O898" s="92"/>
      <x:c r="P898" s="92"/>
      <x:c r="Q898" s="92"/>
      <x:c r="R898" s="92"/>
      <x:c r="S898" s="92"/>
      <x:c r="T898" s="92"/>
      <x:c r="U898" s="92"/>
      <x:c r="V898" s="92"/>
      <x:c r="W898" s="92"/>
      <x:c r="X898" s="92"/>
      <x:c r="Y898" s="92"/>
      <x:c r="Z898" s="92"/>
    </x:row>
    <x:row r="899" spans="1:26">
      <x:c r="A899" s="106"/>
      <x:c r="B899" s="106"/>
      <x:c r="C899" s="106"/>
      <x:c r="D899" s="107"/>
      <x:c r="E899" s="108"/>
      <x:c r="F899" s="106"/>
      <x:c r="G899" s="106"/>
      <x:c r="H899" s="109"/>
      <x:c r="I899" s="110"/>
      <x:c r="J899" s="100"/>
      <x:c r="K899" s="100"/>
      <x:c r="L899" s="100"/>
      <x:c r="M899" s="100"/>
      <x:c r="N899" s="100"/>
      <x:c r="O899" s="100"/>
      <x:c r="P899" s="100"/>
      <x:c r="Q899" s="100"/>
      <x:c r="R899" s="100"/>
      <x:c r="S899" s="100"/>
      <x:c r="T899" s="100"/>
      <x:c r="U899" s="100"/>
      <x:c r="V899" s="100"/>
      <x:c r="W899" s="100"/>
      <x:c r="X899" s="100"/>
      <x:c r="Y899" s="100"/>
      <x:c r="Z899" s="100"/>
    </x:row>
    <x:row r="900" spans="1:26">
      <x:c r="A900" s="111"/>
      <x:c r="B900" s="111"/>
      <x:c r="C900" s="111"/>
      <x:c r="D900" s="112"/>
      <x:c r="E900" s="113"/>
      <x:c r="F900" s="111"/>
      <x:c r="G900" s="111"/>
      <x:c r="H900" s="114"/>
      <x:c r="I900" s="115"/>
      <x:c r="J900" s="92"/>
      <x:c r="K900" s="92"/>
      <x:c r="L900" s="92"/>
      <x:c r="M900" s="92"/>
      <x:c r="N900" s="92"/>
      <x:c r="O900" s="92"/>
      <x:c r="P900" s="92"/>
      <x:c r="Q900" s="92"/>
      <x:c r="R900" s="92"/>
      <x:c r="S900" s="92"/>
      <x:c r="T900" s="92"/>
      <x:c r="U900" s="92"/>
      <x:c r="V900" s="92"/>
      <x:c r="W900" s="92"/>
      <x:c r="X900" s="92"/>
      <x:c r="Y900" s="92"/>
      <x:c r="Z900" s="92"/>
    </x:row>
    <x:row r="901" spans="1:26">
      <x:c r="A901" s="106"/>
      <x:c r="B901" s="106"/>
      <x:c r="C901" s="106"/>
      <x:c r="D901" s="107"/>
      <x:c r="E901" s="108"/>
      <x:c r="F901" s="106"/>
      <x:c r="G901" s="106"/>
      <x:c r="H901" s="109"/>
      <x:c r="I901" s="110"/>
      <x:c r="J901" s="100"/>
      <x:c r="K901" s="100"/>
      <x:c r="L901" s="100"/>
      <x:c r="M901" s="100"/>
      <x:c r="N901" s="100"/>
      <x:c r="O901" s="100"/>
      <x:c r="P901" s="100"/>
      <x:c r="Q901" s="100"/>
      <x:c r="R901" s="100"/>
      <x:c r="S901" s="100"/>
      <x:c r="T901" s="100"/>
      <x:c r="U901" s="100"/>
      <x:c r="V901" s="100"/>
      <x:c r="W901" s="100"/>
      <x:c r="X901" s="100"/>
      <x:c r="Y901" s="100"/>
      <x:c r="Z901" s="100"/>
    </x:row>
    <x:row r="902" spans="1:26">
      <x:c r="A902" s="111"/>
      <x:c r="B902" s="111"/>
      <x:c r="C902" s="111"/>
      <x:c r="D902" s="112"/>
      <x:c r="E902" s="113"/>
      <x:c r="F902" s="111"/>
      <x:c r="G902" s="111"/>
      <x:c r="H902" s="114"/>
      <x:c r="I902" s="115"/>
      <x:c r="J902" s="92"/>
      <x:c r="K902" s="92"/>
      <x:c r="L902" s="92"/>
      <x:c r="M902" s="92"/>
      <x:c r="N902" s="92"/>
      <x:c r="O902" s="92"/>
      <x:c r="P902" s="92"/>
      <x:c r="Q902" s="92"/>
      <x:c r="R902" s="92"/>
      <x:c r="S902" s="92"/>
      <x:c r="T902" s="92"/>
      <x:c r="U902" s="92"/>
      <x:c r="V902" s="92"/>
      <x:c r="W902" s="92"/>
      <x:c r="X902" s="92"/>
      <x:c r="Y902" s="92"/>
      <x:c r="Z902" s="92"/>
    </x:row>
    <x:row r="903" spans="1:26">
      <x:c r="A903" s="106"/>
      <x:c r="B903" s="106"/>
      <x:c r="C903" s="106"/>
      <x:c r="D903" s="107"/>
      <x:c r="E903" s="108"/>
      <x:c r="F903" s="106"/>
      <x:c r="G903" s="106"/>
      <x:c r="H903" s="109"/>
      <x:c r="I903" s="110"/>
      <x:c r="J903" s="100"/>
      <x:c r="K903" s="100"/>
      <x:c r="L903" s="100"/>
      <x:c r="M903" s="100"/>
      <x:c r="N903" s="100"/>
      <x:c r="O903" s="100"/>
      <x:c r="P903" s="100"/>
      <x:c r="Q903" s="100"/>
      <x:c r="R903" s="100"/>
      <x:c r="S903" s="100"/>
      <x:c r="T903" s="100"/>
      <x:c r="U903" s="100"/>
      <x:c r="V903" s="100"/>
      <x:c r="W903" s="100"/>
      <x:c r="X903" s="100"/>
      <x:c r="Y903" s="100"/>
      <x:c r="Z903" s="100"/>
    </x:row>
    <x:row r="904" spans="1:26">
      <x:c r="A904" s="111"/>
      <x:c r="B904" s="111"/>
      <x:c r="C904" s="111"/>
      <x:c r="D904" s="112"/>
      <x:c r="E904" s="113"/>
      <x:c r="F904" s="111"/>
      <x:c r="G904" s="111"/>
      <x:c r="H904" s="114"/>
      <x:c r="I904" s="115"/>
      <x:c r="J904" s="92"/>
      <x:c r="K904" s="92"/>
      <x:c r="L904" s="92"/>
      <x:c r="M904" s="92"/>
      <x:c r="N904" s="92"/>
      <x:c r="O904" s="92"/>
      <x:c r="P904" s="92"/>
      <x:c r="Q904" s="92"/>
      <x:c r="R904" s="92"/>
      <x:c r="S904" s="92"/>
      <x:c r="T904" s="92"/>
      <x:c r="U904" s="92"/>
      <x:c r="V904" s="92"/>
      <x:c r="W904" s="92"/>
      <x:c r="X904" s="92"/>
      <x:c r="Y904" s="92"/>
      <x:c r="Z904" s="92"/>
    </x:row>
    <x:row r="905" spans="1:26">
      <x:c r="A905" s="106"/>
      <x:c r="B905" s="106"/>
      <x:c r="C905" s="106"/>
      <x:c r="D905" s="107"/>
      <x:c r="E905" s="108"/>
      <x:c r="F905" s="106"/>
      <x:c r="G905" s="106"/>
      <x:c r="H905" s="109"/>
      <x:c r="I905" s="110"/>
      <x:c r="J905" s="100"/>
      <x:c r="K905" s="100"/>
      <x:c r="L905" s="100"/>
      <x:c r="M905" s="100"/>
      <x:c r="N905" s="100"/>
      <x:c r="O905" s="100"/>
      <x:c r="P905" s="100"/>
      <x:c r="Q905" s="100"/>
      <x:c r="R905" s="100"/>
      <x:c r="S905" s="100"/>
      <x:c r="T905" s="100"/>
      <x:c r="U905" s="100"/>
      <x:c r="V905" s="100"/>
      <x:c r="W905" s="100"/>
      <x:c r="X905" s="100"/>
      <x:c r="Y905" s="100"/>
      <x:c r="Z905" s="100"/>
    </x:row>
    <x:row r="906" spans="1:26">
      <x:c r="A906" s="111"/>
      <x:c r="B906" s="111"/>
      <x:c r="C906" s="111"/>
      <x:c r="D906" s="112"/>
      <x:c r="E906" s="113"/>
      <x:c r="F906" s="111"/>
      <x:c r="G906" s="111"/>
      <x:c r="H906" s="114"/>
      <x:c r="I906" s="115"/>
      <x:c r="J906" s="92"/>
      <x:c r="K906" s="92"/>
      <x:c r="L906" s="92"/>
      <x:c r="M906" s="92"/>
      <x:c r="N906" s="92"/>
      <x:c r="O906" s="92"/>
      <x:c r="P906" s="92"/>
      <x:c r="Q906" s="92"/>
      <x:c r="R906" s="92"/>
      <x:c r="S906" s="92"/>
      <x:c r="T906" s="92"/>
      <x:c r="U906" s="92"/>
      <x:c r="V906" s="92"/>
      <x:c r="W906" s="92"/>
      <x:c r="X906" s="92"/>
      <x:c r="Y906" s="92"/>
      <x:c r="Z906" s="92"/>
    </x:row>
    <x:row r="907" spans="1:26">
      <x:c r="A907" s="106"/>
      <x:c r="B907" s="106"/>
      <x:c r="C907" s="106"/>
      <x:c r="D907" s="107"/>
      <x:c r="E907" s="108"/>
      <x:c r="F907" s="106"/>
      <x:c r="G907" s="106"/>
      <x:c r="H907" s="109"/>
      <x:c r="I907" s="110"/>
      <x:c r="J907" s="100"/>
      <x:c r="K907" s="100"/>
      <x:c r="L907" s="100"/>
      <x:c r="M907" s="100"/>
      <x:c r="N907" s="100"/>
      <x:c r="O907" s="100"/>
      <x:c r="P907" s="100"/>
      <x:c r="Q907" s="100"/>
      <x:c r="R907" s="100"/>
      <x:c r="S907" s="100"/>
      <x:c r="T907" s="100"/>
      <x:c r="U907" s="100"/>
      <x:c r="V907" s="100"/>
      <x:c r="W907" s="100"/>
      <x:c r="X907" s="100"/>
      <x:c r="Y907" s="100"/>
      <x:c r="Z907" s="100"/>
    </x:row>
    <x:row r="908" spans="1:26">
      <x:c r="A908" s="111"/>
      <x:c r="B908" s="111"/>
      <x:c r="C908" s="111"/>
      <x:c r="D908" s="112"/>
      <x:c r="E908" s="113"/>
      <x:c r="F908" s="111"/>
      <x:c r="G908" s="111"/>
      <x:c r="H908" s="114"/>
      <x:c r="I908" s="115"/>
      <x:c r="J908" s="92"/>
      <x:c r="K908" s="92"/>
      <x:c r="L908" s="92"/>
      <x:c r="M908" s="92"/>
      <x:c r="N908" s="92"/>
      <x:c r="O908" s="92"/>
      <x:c r="P908" s="92"/>
      <x:c r="Q908" s="92"/>
      <x:c r="R908" s="92"/>
      <x:c r="S908" s="92"/>
      <x:c r="T908" s="92"/>
      <x:c r="U908" s="92"/>
      <x:c r="V908" s="92"/>
      <x:c r="W908" s="92"/>
      <x:c r="X908" s="92"/>
      <x:c r="Y908" s="92"/>
      <x:c r="Z908" s="92"/>
    </x:row>
    <x:row r="909" spans="1:26">
      <x:c r="A909" s="106"/>
      <x:c r="B909" s="106"/>
      <x:c r="C909" s="106"/>
      <x:c r="D909" s="107"/>
      <x:c r="E909" s="108"/>
      <x:c r="F909" s="106"/>
      <x:c r="G909" s="106"/>
      <x:c r="H909" s="109"/>
      <x:c r="I909" s="110"/>
      <x:c r="J909" s="100"/>
      <x:c r="K909" s="100"/>
      <x:c r="L909" s="100"/>
      <x:c r="M909" s="100"/>
      <x:c r="N909" s="100"/>
      <x:c r="O909" s="100"/>
      <x:c r="P909" s="100"/>
      <x:c r="Q909" s="100"/>
      <x:c r="R909" s="100"/>
      <x:c r="S909" s="100"/>
      <x:c r="T909" s="100"/>
      <x:c r="U909" s="100"/>
      <x:c r="V909" s="100"/>
      <x:c r="W909" s="100"/>
      <x:c r="X909" s="100"/>
      <x:c r="Y909" s="100"/>
      <x:c r="Z909" s="100"/>
    </x:row>
    <x:row r="910" spans="1:26">
      <x:c r="A910" s="111"/>
      <x:c r="B910" s="111"/>
      <x:c r="C910" s="111"/>
      <x:c r="D910" s="112"/>
      <x:c r="E910" s="113"/>
      <x:c r="F910" s="111"/>
      <x:c r="G910" s="111"/>
      <x:c r="H910" s="114"/>
      <x:c r="I910" s="115"/>
      <x:c r="J910" s="92"/>
      <x:c r="K910" s="92"/>
      <x:c r="L910" s="92"/>
      <x:c r="M910" s="92"/>
      <x:c r="N910" s="92"/>
      <x:c r="O910" s="92"/>
      <x:c r="P910" s="92"/>
      <x:c r="Q910" s="92"/>
      <x:c r="R910" s="92"/>
      <x:c r="S910" s="92"/>
      <x:c r="T910" s="92"/>
      <x:c r="U910" s="92"/>
      <x:c r="V910" s="92"/>
      <x:c r="W910" s="92"/>
      <x:c r="X910" s="92"/>
      <x:c r="Y910" s="92"/>
      <x:c r="Z910" s="92"/>
    </x:row>
    <x:row r="911" spans="1:26">
      <x:c r="A911" s="106"/>
      <x:c r="B911" s="106"/>
      <x:c r="C911" s="106"/>
      <x:c r="D911" s="107"/>
      <x:c r="E911" s="108"/>
      <x:c r="F911" s="106"/>
      <x:c r="G911" s="106"/>
      <x:c r="H911" s="109"/>
      <x:c r="I911" s="110"/>
      <x:c r="J911" s="100"/>
      <x:c r="K911" s="100"/>
      <x:c r="L911" s="100"/>
      <x:c r="M911" s="100"/>
      <x:c r="N911" s="100"/>
      <x:c r="O911" s="100"/>
      <x:c r="P911" s="100"/>
      <x:c r="Q911" s="100"/>
      <x:c r="R911" s="100"/>
      <x:c r="S911" s="100"/>
      <x:c r="T911" s="100"/>
      <x:c r="U911" s="100"/>
      <x:c r="V911" s="100"/>
      <x:c r="W911" s="100"/>
      <x:c r="X911" s="100"/>
      <x:c r="Y911" s="100"/>
      <x:c r="Z911" s="100"/>
    </x:row>
    <x:row r="912" spans="1:26">
      <x:c r="A912" s="111"/>
      <x:c r="B912" s="111"/>
      <x:c r="C912" s="111"/>
      <x:c r="D912" s="112"/>
      <x:c r="E912" s="113"/>
      <x:c r="F912" s="111"/>
      <x:c r="G912" s="111"/>
      <x:c r="H912" s="114"/>
      <x:c r="I912" s="115"/>
      <x:c r="J912" s="92"/>
      <x:c r="K912" s="92"/>
      <x:c r="L912" s="92"/>
      <x:c r="M912" s="92"/>
      <x:c r="N912" s="92"/>
      <x:c r="O912" s="92"/>
      <x:c r="P912" s="92"/>
      <x:c r="Q912" s="92"/>
      <x:c r="R912" s="92"/>
      <x:c r="S912" s="92"/>
      <x:c r="T912" s="92"/>
      <x:c r="U912" s="92"/>
      <x:c r="V912" s="92"/>
      <x:c r="W912" s="92"/>
      <x:c r="X912" s="92"/>
      <x:c r="Y912" s="92"/>
      <x:c r="Z912" s="92"/>
    </x:row>
    <x:row r="913" spans="1:26">
      <x:c r="A913" s="106"/>
      <x:c r="B913" s="106"/>
      <x:c r="C913" s="106"/>
      <x:c r="D913" s="107"/>
      <x:c r="E913" s="108"/>
      <x:c r="F913" s="106"/>
      <x:c r="G913" s="106"/>
      <x:c r="H913" s="109"/>
      <x:c r="I913" s="110"/>
      <x:c r="J913" s="100"/>
      <x:c r="K913" s="100"/>
      <x:c r="L913" s="100"/>
      <x:c r="M913" s="100"/>
      <x:c r="N913" s="100"/>
      <x:c r="O913" s="100"/>
      <x:c r="P913" s="100"/>
      <x:c r="Q913" s="100"/>
      <x:c r="R913" s="100"/>
      <x:c r="S913" s="100"/>
      <x:c r="T913" s="100"/>
      <x:c r="U913" s="100"/>
      <x:c r="V913" s="100"/>
      <x:c r="W913" s="100"/>
      <x:c r="X913" s="100"/>
      <x:c r="Y913" s="100"/>
      <x:c r="Z913" s="100"/>
    </x:row>
    <x:row r="914" spans="1:26">
      <x:c r="A914" s="111"/>
      <x:c r="B914" s="111"/>
      <x:c r="C914" s="111"/>
      <x:c r="D914" s="112"/>
      <x:c r="E914" s="113"/>
      <x:c r="F914" s="111"/>
      <x:c r="G914" s="111"/>
      <x:c r="H914" s="114"/>
      <x:c r="I914" s="115"/>
      <x:c r="J914" s="92"/>
      <x:c r="K914" s="92"/>
      <x:c r="L914" s="92"/>
      <x:c r="M914" s="92"/>
      <x:c r="N914" s="92"/>
      <x:c r="O914" s="92"/>
      <x:c r="P914" s="92"/>
      <x:c r="Q914" s="92"/>
      <x:c r="R914" s="92"/>
      <x:c r="S914" s="92"/>
      <x:c r="T914" s="92"/>
      <x:c r="U914" s="92"/>
      <x:c r="V914" s="92"/>
      <x:c r="W914" s="92"/>
      <x:c r="X914" s="92"/>
      <x:c r="Y914" s="92"/>
      <x:c r="Z914" s="92"/>
    </x:row>
    <x:row r="915" spans="1:26">
      <x:c r="A915" s="106"/>
      <x:c r="B915" s="106"/>
      <x:c r="C915" s="106"/>
      <x:c r="D915" s="107"/>
      <x:c r="E915" s="108"/>
      <x:c r="F915" s="106"/>
      <x:c r="G915" s="106"/>
      <x:c r="H915" s="109"/>
      <x:c r="I915" s="110"/>
      <x:c r="J915" s="100"/>
      <x:c r="K915" s="100"/>
      <x:c r="L915" s="100"/>
      <x:c r="M915" s="100"/>
      <x:c r="N915" s="100"/>
      <x:c r="O915" s="100"/>
      <x:c r="P915" s="100"/>
      <x:c r="Q915" s="100"/>
      <x:c r="R915" s="100"/>
      <x:c r="S915" s="100"/>
      <x:c r="T915" s="100"/>
      <x:c r="U915" s="100"/>
      <x:c r="V915" s="100"/>
      <x:c r="W915" s="100"/>
      <x:c r="X915" s="100"/>
      <x:c r="Y915" s="100"/>
      <x:c r="Z915" s="100"/>
    </x:row>
    <x:row r="916" spans="1:26">
      <x:c r="A916" s="111"/>
      <x:c r="B916" s="111"/>
      <x:c r="C916" s="111"/>
      <x:c r="D916" s="112"/>
      <x:c r="E916" s="113"/>
      <x:c r="F916" s="111"/>
      <x:c r="G916" s="111"/>
      <x:c r="H916" s="114"/>
      <x:c r="I916" s="115"/>
      <x:c r="J916" s="92"/>
      <x:c r="K916" s="92"/>
      <x:c r="L916" s="92"/>
      <x:c r="M916" s="92"/>
      <x:c r="N916" s="92"/>
      <x:c r="O916" s="92"/>
      <x:c r="P916" s="92"/>
      <x:c r="Q916" s="92"/>
      <x:c r="R916" s="92"/>
      <x:c r="S916" s="92"/>
      <x:c r="T916" s="92"/>
      <x:c r="U916" s="92"/>
      <x:c r="V916" s="92"/>
      <x:c r="W916" s="92"/>
      <x:c r="X916" s="92"/>
      <x:c r="Y916" s="92"/>
      <x:c r="Z916" s="92"/>
    </x:row>
    <x:row r="917" spans="1:26">
      <x:c r="A917" s="106"/>
      <x:c r="B917" s="106"/>
      <x:c r="C917" s="106"/>
      <x:c r="D917" s="107"/>
      <x:c r="E917" s="108"/>
      <x:c r="F917" s="106"/>
      <x:c r="G917" s="106"/>
      <x:c r="H917" s="109"/>
      <x:c r="I917" s="110"/>
      <x:c r="J917" s="100"/>
      <x:c r="K917" s="100"/>
      <x:c r="L917" s="100"/>
      <x:c r="M917" s="100"/>
      <x:c r="N917" s="100"/>
      <x:c r="O917" s="100"/>
      <x:c r="P917" s="100"/>
      <x:c r="Q917" s="100"/>
      <x:c r="R917" s="100"/>
      <x:c r="S917" s="100"/>
      <x:c r="T917" s="100"/>
      <x:c r="U917" s="100"/>
      <x:c r="V917" s="100"/>
      <x:c r="W917" s="100"/>
      <x:c r="X917" s="100"/>
      <x:c r="Y917" s="100"/>
      <x:c r="Z917" s="100"/>
    </x:row>
    <x:row r="918" spans="1:26">
      <x:c r="A918" s="111"/>
      <x:c r="B918" s="111"/>
      <x:c r="C918" s="111"/>
      <x:c r="D918" s="112"/>
      <x:c r="E918" s="113"/>
      <x:c r="F918" s="111"/>
      <x:c r="G918" s="111"/>
      <x:c r="H918" s="114"/>
      <x:c r="I918" s="115"/>
      <x:c r="J918" s="92"/>
      <x:c r="K918" s="92"/>
      <x:c r="L918" s="92"/>
      <x:c r="M918" s="92"/>
      <x:c r="N918" s="92"/>
      <x:c r="O918" s="92"/>
      <x:c r="P918" s="92"/>
      <x:c r="Q918" s="92"/>
      <x:c r="R918" s="92"/>
      <x:c r="S918" s="92"/>
      <x:c r="T918" s="92"/>
      <x:c r="U918" s="92"/>
      <x:c r="V918" s="92"/>
      <x:c r="W918" s="92"/>
      <x:c r="X918" s="92"/>
      <x:c r="Y918" s="92"/>
      <x:c r="Z918" s="92"/>
    </x:row>
    <x:row r="919" spans="1:26">
      <x:c r="A919" s="106"/>
      <x:c r="B919" s="106"/>
      <x:c r="C919" s="106"/>
      <x:c r="D919" s="107"/>
      <x:c r="E919" s="108"/>
      <x:c r="F919" s="106"/>
      <x:c r="G919" s="106"/>
      <x:c r="H919" s="109"/>
      <x:c r="I919" s="110"/>
      <x:c r="J919" s="100"/>
      <x:c r="K919" s="100"/>
      <x:c r="L919" s="100"/>
      <x:c r="M919" s="100"/>
      <x:c r="N919" s="100"/>
      <x:c r="O919" s="100"/>
      <x:c r="P919" s="100"/>
      <x:c r="Q919" s="100"/>
      <x:c r="R919" s="100"/>
      <x:c r="S919" s="100"/>
      <x:c r="T919" s="100"/>
      <x:c r="U919" s="100"/>
      <x:c r="V919" s="100"/>
      <x:c r="W919" s="100"/>
      <x:c r="X919" s="100"/>
      <x:c r="Y919" s="100"/>
      <x:c r="Z919" s="100"/>
    </x:row>
    <x:row r="920" spans="1:26">
      <x:c r="A920" s="111"/>
      <x:c r="B920" s="111"/>
      <x:c r="C920" s="111"/>
      <x:c r="D920" s="112"/>
      <x:c r="E920" s="113"/>
      <x:c r="F920" s="111"/>
      <x:c r="G920" s="111"/>
      <x:c r="H920" s="114"/>
      <x:c r="I920" s="115"/>
      <x:c r="J920" s="92"/>
      <x:c r="K920" s="92"/>
      <x:c r="L920" s="92"/>
      <x:c r="M920" s="92"/>
      <x:c r="N920" s="92"/>
      <x:c r="O920" s="92"/>
      <x:c r="P920" s="92"/>
      <x:c r="Q920" s="92"/>
      <x:c r="R920" s="92"/>
      <x:c r="S920" s="92"/>
      <x:c r="T920" s="92"/>
      <x:c r="U920" s="92"/>
      <x:c r="V920" s="92"/>
      <x:c r="W920" s="92"/>
      <x:c r="X920" s="92"/>
      <x:c r="Y920" s="92"/>
      <x:c r="Z920" s="92"/>
    </x:row>
    <x:row r="921" spans="1:26">
      <x:c r="A921" s="106"/>
      <x:c r="B921" s="106"/>
      <x:c r="C921" s="106"/>
      <x:c r="D921" s="107"/>
      <x:c r="E921" s="108"/>
      <x:c r="F921" s="106"/>
      <x:c r="G921" s="106"/>
      <x:c r="H921" s="109"/>
      <x:c r="I921" s="110"/>
      <x:c r="J921" s="100"/>
      <x:c r="K921" s="100"/>
      <x:c r="L921" s="100"/>
      <x:c r="M921" s="100"/>
      <x:c r="N921" s="100"/>
      <x:c r="O921" s="100"/>
      <x:c r="P921" s="100"/>
      <x:c r="Q921" s="100"/>
      <x:c r="R921" s="100"/>
      <x:c r="S921" s="100"/>
      <x:c r="T921" s="100"/>
      <x:c r="U921" s="100"/>
      <x:c r="V921" s="100"/>
      <x:c r="W921" s="100"/>
      <x:c r="X921" s="100"/>
      <x:c r="Y921" s="100"/>
      <x:c r="Z921" s="100"/>
    </x:row>
    <x:row r="922" spans="1:26">
      <x:c r="A922" s="111"/>
      <x:c r="B922" s="111"/>
      <x:c r="C922" s="111"/>
      <x:c r="D922" s="112"/>
      <x:c r="E922" s="113"/>
      <x:c r="F922" s="111"/>
      <x:c r="G922" s="111"/>
      <x:c r="H922" s="114"/>
      <x:c r="I922" s="115"/>
      <x:c r="J922" s="92"/>
      <x:c r="K922" s="92"/>
      <x:c r="L922" s="92"/>
      <x:c r="M922" s="92"/>
      <x:c r="N922" s="92"/>
      <x:c r="O922" s="92"/>
      <x:c r="P922" s="92"/>
      <x:c r="Q922" s="92"/>
      <x:c r="R922" s="92"/>
      <x:c r="S922" s="92"/>
      <x:c r="T922" s="92"/>
      <x:c r="U922" s="92"/>
      <x:c r="V922" s="92"/>
      <x:c r="W922" s="92"/>
      <x:c r="X922" s="92"/>
      <x:c r="Y922" s="92"/>
      <x:c r="Z922" s="92"/>
    </x:row>
    <x:row r="923" spans="1:26">
      <x:c r="A923" s="106"/>
      <x:c r="B923" s="106"/>
      <x:c r="C923" s="106"/>
      <x:c r="D923" s="107"/>
      <x:c r="E923" s="108"/>
      <x:c r="F923" s="106"/>
      <x:c r="G923" s="106"/>
      <x:c r="H923" s="109"/>
      <x:c r="I923" s="110"/>
      <x:c r="J923" s="100"/>
      <x:c r="K923" s="100"/>
      <x:c r="L923" s="100"/>
      <x:c r="M923" s="100"/>
      <x:c r="N923" s="100"/>
      <x:c r="O923" s="100"/>
      <x:c r="P923" s="100"/>
      <x:c r="Q923" s="100"/>
      <x:c r="R923" s="100"/>
      <x:c r="S923" s="100"/>
      <x:c r="T923" s="100"/>
      <x:c r="U923" s="100"/>
      <x:c r="V923" s="100"/>
      <x:c r="W923" s="100"/>
      <x:c r="X923" s="100"/>
      <x:c r="Y923" s="100"/>
      <x:c r="Z923" s="100"/>
    </x:row>
    <x:row r="924" spans="1:26">
      <x:c r="A924" s="111"/>
      <x:c r="B924" s="111"/>
      <x:c r="C924" s="111"/>
      <x:c r="D924" s="112"/>
      <x:c r="E924" s="113"/>
      <x:c r="F924" s="111"/>
      <x:c r="G924" s="111"/>
      <x:c r="H924" s="114"/>
      <x:c r="I924" s="115"/>
      <x:c r="J924" s="92"/>
      <x:c r="K924" s="92"/>
      <x:c r="L924" s="92"/>
      <x:c r="M924" s="92"/>
      <x:c r="N924" s="92"/>
      <x:c r="O924" s="92"/>
      <x:c r="P924" s="92"/>
      <x:c r="Q924" s="92"/>
      <x:c r="R924" s="92"/>
      <x:c r="S924" s="92"/>
      <x:c r="T924" s="92"/>
      <x:c r="U924" s="92"/>
      <x:c r="V924" s="92"/>
      <x:c r="W924" s="92"/>
      <x:c r="X924" s="92"/>
      <x:c r="Y924" s="92"/>
      <x:c r="Z924" s="92"/>
    </x:row>
    <x:row r="925" spans="1:26">
      <x:c r="A925" s="106"/>
      <x:c r="B925" s="106"/>
      <x:c r="C925" s="106"/>
      <x:c r="D925" s="107"/>
      <x:c r="E925" s="108"/>
      <x:c r="F925" s="106"/>
      <x:c r="G925" s="106"/>
      <x:c r="H925" s="109"/>
      <x:c r="I925" s="110"/>
      <x:c r="J925" s="100"/>
      <x:c r="K925" s="100"/>
      <x:c r="L925" s="100"/>
      <x:c r="M925" s="100"/>
      <x:c r="N925" s="100"/>
      <x:c r="O925" s="100"/>
      <x:c r="P925" s="100"/>
      <x:c r="Q925" s="100"/>
      <x:c r="R925" s="100"/>
      <x:c r="S925" s="100"/>
      <x:c r="T925" s="100"/>
      <x:c r="U925" s="100"/>
      <x:c r="V925" s="100"/>
      <x:c r="W925" s="100"/>
      <x:c r="X925" s="100"/>
      <x:c r="Y925" s="100"/>
      <x:c r="Z925" s="100"/>
    </x:row>
    <x:row r="926" spans="1:26">
      <x:c r="A926" s="111"/>
      <x:c r="B926" s="111"/>
      <x:c r="C926" s="111"/>
      <x:c r="D926" s="112"/>
      <x:c r="E926" s="113"/>
      <x:c r="F926" s="111"/>
      <x:c r="G926" s="111"/>
      <x:c r="H926" s="114"/>
      <x:c r="I926" s="115"/>
      <x:c r="J926" s="92"/>
      <x:c r="K926" s="92"/>
      <x:c r="L926" s="92"/>
      <x:c r="M926" s="92"/>
      <x:c r="N926" s="92"/>
      <x:c r="O926" s="92"/>
      <x:c r="P926" s="92"/>
      <x:c r="Q926" s="92"/>
      <x:c r="R926" s="92"/>
      <x:c r="S926" s="92"/>
      <x:c r="T926" s="92"/>
      <x:c r="U926" s="92"/>
      <x:c r="V926" s="92"/>
      <x:c r="W926" s="92"/>
      <x:c r="X926" s="92"/>
      <x:c r="Y926" s="92"/>
      <x:c r="Z926" s="92"/>
    </x:row>
    <x:row r="927" spans="1:26">
      <x:c r="A927" s="106"/>
      <x:c r="B927" s="106"/>
      <x:c r="C927" s="106"/>
      <x:c r="D927" s="107"/>
      <x:c r="E927" s="108"/>
      <x:c r="F927" s="106"/>
      <x:c r="G927" s="106"/>
      <x:c r="H927" s="109"/>
      <x:c r="I927" s="110"/>
      <x:c r="J927" s="100"/>
      <x:c r="K927" s="100"/>
      <x:c r="L927" s="100"/>
      <x:c r="M927" s="100"/>
      <x:c r="N927" s="100"/>
      <x:c r="O927" s="100"/>
      <x:c r="P927" s="100"/>
      <x:c r="Q927" s="100"/>
      <x:c r="R927" s="100"/>
      <x:c r="S927" s="100"/>
      <x:c r="T927" s="100"/>
      <x:c r="U927" s="100"/>
      <x:c r="V927" s="100"/>
      <x:c r="W927" s="100"/>
      <x:c r="X927" s="100"/>
      <x:c r="Y927" s="100"/>
      <x:c r="Z927" s="100"/>
    </x:row>
    <x:row r="928" spans="1:26">
      <x:c r="A928" s="111"/>
      <x:c r="B928" s="111"/>
      <x:c r="C928" s="111"/>
      <x:c r="D928" s="112"/>
      <x:c r="E928" s="113"/>
      <x:c r="F928" s="111"/>
      <x:c r="G928" s="111"/>
      <x:c r="H928" s="114"/>
      <x:c r="I928" s="115"/>
      <x:c r="J928" s="92"/>
      <x:c r="K928" s="92"/>
      <x:c r="L928" s="92"/>
      <x:c r="M928" s="92"/>
      <x:c r="N928" s="92"/>
      <x:c r="O928" s="92"/>
      <x:c r="P928" s="92"/>
      <x:c r="Q928" s="92"/>
      <x:c r="R928" s="92"/>
      <x:c r="S928" s="92"/>
      <x:c r="T928" s="92"/>
      <x:c r="U928" s="92"/>
      <x:c r="V928" s="92"/>
      <x:c r="W928" s="92"/>
      <x:c r="X928" s="92"/>
      <x:c r="Y928" s="92"/>
      <x:c r="Z928" s="92"/>
    </x:row>
    <x:row r="929" spans="1:26">
      <x:c r="A929" s="106"/>
      <x:c r="B929" s="106"/>
      <x:c r="C929" s="106"/>
      <x:c r="D929" s="107"/>
      <x:c r="E929" s="108"/>
      <x:c r="F929" s="106"/>
      <x:c r="G929" s="106"/>
      <x:c r="H929" s="109"/>
      <x:c r="I929" s="110"/>
      <x:c r="J929" s="100"/>
      <x:c r="K929" s="100"/>
      <x:c r="L929" s="100"/>
      <x:c r="M929" s="100"/>
      <x:c r="N929" s="100"/>
      <x:c r="O929" s="100"/>
      <x:c r="P929" s="100"/>
      <x:c r="Q929" s="100"/>
      <x:c r="R929" s="100"/>
      <x:c r="S929" s="100"/>
      <x:c r="T929" s="100"/>
      <x:c r="U929" s="100"/>
      <x:c r="V929" s="100"/>
      <x:c r="W929" s="100"/>
      <x:c r="X929" s="100"/>
      <x:c r="Y929" s="100"/>
      <x:c r="Z929" s="100"/>
    </x:row>
    <x:row r="930" spans="1:26">
      <x:c r="A930" s="111"/>
      <x:c r="B930" s="111"/>
      <x:c r="C930" s="111"/>
      <x:c r="D930" s="112"/>
      <x:c r="E930" s="113"/>
      <x:c r="F930" s="111"/>
      <x:c r="G930" s="111"/>
      <x:c r="H930" s="114"/>
      <x:c r="I930" s="115"/>
      <x:c r="J930" s="92"/>
      <x:c r="K930" s="92"/>
      <x:c r="L930" s="92"/>
      <x:c r="M930" s="92"/>
      <x:c r="N930" s="92"/>
      <x:c r="O930" s="92"/>
      <x:c r="P930" s="92"/>
      <x:c r="Q930" s="92"/>
      <x:c r="R930" s="92"/>
      <x:c r="S930" s="92"/>
      <x:c r="T930" s="92"/>
      <x:c r="U930" s="92"/>
      <x:c r="V930" s="92"/>
      <x:c r="W930" s="92"/>
      <x:c r="X930" s="92"/>
      <x:c r="Y930" s="92"/>
      <x:c r="Z930" s="92"/>
    </x:row>
    <x:row r="931" spans="1:26">
      <x:c r="A931" s="106"/>
      <x:c r="B931" s="106"/>
      <x:c r="C931" s="106"/>
      <x:c r="D931" s="107"/>
      <x:c r="E931" s="108"/>
      <x:c r="F931" s="106"/>
      <x:c r="G931" s="106"/>
      <x:c r="H931" s="109"/>
      <x:c r="I931" s="110"/>
      <x:c r="J931" s="100"/>
      <x:c r="K931" s="100"/>
      <x:c r="L931" s="100"/>
      <x:c r="M931" s="100"/>
      <x:c r="N931" s="100"/>
      <x:c r="O931" s="100"/>
      <x:c r="P931" s="100"/>
      <x:c r="Q931" s="100"/>
      <x:c r="R931" s="100"/>
      <x:c r="S931" s="100"/>
      <x:c r="T931" s="100"/>
      <x:c r="U931" s="100"/>
      <x:c r="V931" s="100"/>
      <x:c r="W931" s="100"/>
      <x:c r="X931" s="100"/>
      <x:c r="Y931" s="100"/>
      <x:c r="Z931" s="100"/>
    </x:row>
    <x:row r="932" spans="1:26">
      <x:c r="A932" s="111"/>
      <x:c r="B932" s="111"/>
      <x:c r="C932" s="111"/>
      <x:c r="D932" s="112"/>
      <x:c r="E932" s="113"/>
      <x:c r="F932" s="111"/>
      <x:c r="G932" s="111"/>
      <x:c r="H932" s="114"/>
      <x:c r="I932" s="115"/>
      <x:c r="J932" s="92"/>
      <x:c r="K932" s="92"/>
      <x:c r="L932" s="92"/>
      <x:c r="M932" s="92"/>
      <x:c r="N932" s="92"/>
      <x:c r="O932" s="92"/>
      <x:c r="P932" s="92"/>
      <x:c r="Q932" s="92"/>
      <x:c r="R932" s="92"/>
      <x:c r="S932" s="92"/>
      <x:c r="T932" s="92"/>
      <x:c r="U932" s="92"/>
      <x:c r="V932" s="92"/>
      <x:c r="W932" s="92"/>
      <x:c r="X932" s="92"/>
      <x:c r="Y932" s="92"/>
      <x:c r="Z932" s="92"/>
    </x:row>
    <x:row r="933" spans="1:26">
      <x:c r="A933" s="106"/>
      <x:c r="B933" s="106"/>
      <x:c r="C933" s="106"/>
      <x:c r="D933" s="107"/>
      <x:c r="E933" s="108"/>
      <x:c r="F933" s="106"/>
      <x:c r="G933" s="106"/>
      <x:c r="H933" s="109"/>
      <x:c r="I933" s="110"/>
      <x:c r="J933" s="100"/>
      <x:c r="K933" s="100"/>
      <x:c r="L933" s="100"/>
      <x:c r="M933" s="100"/>
      <x:c r="N933" s="100"/>
      <x:c r="O933" s="100"/>
      <x:c r="P933" s="100"/>
      <x:c r="Q933" s="100"/>
      <x:c r="R933" s="100"/>
      <x:c r="S933" s="100"/>
      <x:c r="T933" s="100"/>
      <x:c r="U933" s="100"/>
      <x:c r="V933" s="100"/>
      <x:c r="W933" s="100"/>
      <x:c r="X933" s="100"/>
      <x:c r="Y933" s="100"/>
      <x:c r="Z933" s="100"/>
    </x:row>
    <x:row r="934" spans="1:26">
      <x:c r="A934" s="111"/>
      <x:c r="B934" s="111"/>
      <x:c r="C934" s="111"/>
      <x:c r="D934" s="112"/>
      <x:c r="E934" s="113"/>
      <x:c r="F934" s="111"/>
      <x:c r="G934" s="111"/>
      <x:c r="H934" s="114"/>
      <x:c r="I934" s="115"/>
      <x:c r="J934" s="92"/>
      <x:c r="K934" s="92"/>
      <x:c r="L934" s="92"/>
      <x:c r="M934" s="92"/>
      <x:c r="N934" s="92"/>
      <x:c r="O934" s="92"/>
      <x:c r="P934" s="92"/>
      <x:c r="Q934" s="92"/>
      <x:c r="R934" s="92"/>
      <x:c r="S934" s="92"/>
      <x:c r="T934" s="92"/>
      <x:c r="U934" s="92"/>
      <x:c r="V934" s="92"/>
      <x:c r="W934" s="92"/>
      <x:c r="X934" s="92"/>
      <x:c r="Y934" s="92"/>
      <x:c r="Z934" s="92"/>
    </x:row>
    <x:row r="935" spans="1:26">
      <x:c r="A935" s="106"/>
      <x:c r="B935" s="106"/>
      <x:c r="C935" s="106"/>
      <x:c r="D935" s="107"/>
      <x:c r="E935" s="108"/>
      <x:c r="F935" s="106"/>
      <x:c r="G935" s="106"/>
      <x:c r="H935" s="109"/>
      <x:c r="I935" s="110"/>
      <x:c r="J935" s="100"/>
      <x:c r="K935" s="100"/>
      <x:c r="L935" s="100"/>
      <x:c r="M935" s="100"/>
      <x:c r="N935" s="100"/>
      <x:c r="O935" s="100"/>
      <x:c r="P935" s="100"/>
      <x:c r="Q935" s="100"/>
      <x:c r="R935" s="100"/>
      <x:c r="S935" s="100"/>
      <x:c r="T935" s="100"/>
      <x:c r="U935" s="100"/>
      <x:c r="V935" s="100"/>
      <x:c r="W935" s="100"/>
      <x:c r="X935" s="100"/>
      <x:c r="Y935" s="100"/>
      <x:c r="Z935" s="100"/>
    </x:row>
    <x:row r="936" spans="1:26">
      <x:c r="A936" s="111"/>
      <x:c r="B936" s="111"/>
      <x:c r="C936" s="111"/>
      <x:c r="D936" s="112"/>
      <x:c r="E936" s="113"/>
      <x:c r="F936" s="111"/>
      <x:c r="G936" s="111"/>
      <x:c r="H936" s="114"/>
      <x:c r="I936" s="115"/>
      <x:c r="J936" s="92"/>
      <x:c r="K936" s="92"/>
      <x:c r="L936" s="92"/>
      <x:c r="M936" s="92"/>
      <x:c r="N936" s="92"/>
      <x:c r="O936" s="92"/>
      <x:c r="P936" s="92"/>
      <x:c r="Q936" s="92"/>
      <x:c r="R936" s="92"/>
      <x:c r="S936" s="92"/>
      <x:c r="T936" s="92"/>
      <x:c r="U936" s="92"/>
      <x:c r="V936" s="92"/>
      <x:c r="W936" s="92"/>
      <x:c r="X936" s="92"/>
      <x:c r="Y936" s="92"/>
      <x:c r="Z936" s="92"/>
    </x:row>
    <x:row r="937" spans="1:26">
      <x:c r="A937" s="106"/>
      <x:c r="B937" s="106"/>
      <x:c r="C937" s="106"/>
      <x:c r="D937" s="107"/>
      <x:c r="E937" s="108"/>
      <x:c r="F937" s="106"/>
      <x:c r="G937" s="106"/>
      <x:c r="H937" s="109"/>
      <x:c r="I937" s="110"/>
      <x:c r="J937" s="100"/>
      <x:c r="K937" s="100"/>
      <x:c r="L937" s="100"/>
      <x:c r="M937" s="100"/>
      <x:c r="N937" s="100"/>
      <x:c r="O937" s="100"/>
      <x:c r="P937" s="100"/>
      <x:c r="Q937" s="100"/>
      <x:c r="R937" s="100"/>
      <x:c r="S937" s="100"/>
      <x:c r="T937" s="100"/>
      <x:c r="U937" s="100"/>
      <x:c r="V937" s="100"/>
      <x:c r="W937" s="100"/>
      <x:c r="X937" s="100"/>
      <x:c r="Y937" s="100"/>
      <x:c r="Z937" s="100"/>
    </x:row>
    <x:row r="938" spans="1:26">
      <x:c r="A938" s="111"/>
      <x:c r="B938" s="111"/>
      <x:c r="C938" s="111"/>
      <x:c r="D938" s="112"/>
      <x:c r="E938" s="113"/>
      <x:c r="F938" s="111"/>
      <x:c r="G938" s="111"/>
      <x:c r="H938" s="114"/>
      <x:c r="I938" s="115"/>
      <x:c r="J938" s="92"/>
      <x:c r="K938" s="92"/>
      <x:c r="L938" s="92"/>
      <x:c r="M938" s="92"/>
      <x:c r="N938" s="92"/>
      <x:c r="O938" s="92"/>
      <x:c r="P938" s="92"/>
      <x:c r="Q938" s="92"/>
      <x:c r="R938" s="92"/>
      <x:c r="S938" s="92"/>
      <x:c r="T938" s="92"/>
      <x:c r="U938" s="92"/>
      <x:c r="V938" s="92"/>
      <x:c r="W938" s="92"/>
      <x:c r="X938" s="92"/>
      <x:c r="Y938" s="92"/>
      <x:c r="Z938" s="92"/>
    </x:row>
    <x:row r="939" spans="1:26">
      <x:c r="A939" s="106"/>
      <x:c r="B939" s="106"/>
      <x:c r="C939" s="106"/>
      <x:c r="D939" s="107"/>
      <x:c r="E939" s="108"/>
      <x:c r="F939" s="106"/>
      <x:c r="G939" s="106"/>
      <x:c r="H939" s="109"/>
      <x:c r="I939" s="110"/>
      <x:c r="J939" s="100"/>
      <x:c r="K939" s="100"/>
      <x:c r="L939" s="100"/>
      <x:c r="M939" s="100"/>
      <x:c r="N939" s="100"/>
      <x:c r="O939" s="100"/>
      <x:c r="P939" s="100"/>
      <x:c r="Q939" s="100"/>
      <x:c r="R939" s="100"/>
      <x:c r="S939" s="100"/>
      <x:c r="T939" s="100"/>
      <x:c r="U939" s="100"/>
      <x:c r="V939" s="100"/>
      <x:c r="W939" s="100"/>
      <x:c r="X939" s="100"/>
      <x:c r="Y939" s="100"/>
      <x:c r="Z939" s="100"/>
    </x:row>
    <x:row r="940" spans="1:26">
      <x:c r="A940" s="111"/>
      <x:c r="B940" s="111"/>
      <x:c r="C940" s="111"/>
      <x:c r="D940" s="112"/>
      <x:c r="E940" s="113"/>
      <x:c r="F940" s="111"/>
      <x:c r="G940" s="111"/>
      <x:c r="H940" s="114"/>
      <x:c r="I940" s="115"/>
      <x:c r="J940" s="92"/>
      <x:c r="K940" s="92"/>
      <x:c r="L940" s="92"/>
      <x:c r="M940" s="92"/>
      <x:c r="N940" s="92"/>
      <x:c r="O940" s="92"/>
      <x:c r="P940" s="92"/>
      <x:c r="Q940" s="92"/>
      <x:c r="R940" s="92"/>
      <x:c r="S940" s="92"/>
      <x:c r="T940" s="92"/>
      <x:c r="U940" s="92"/>
      <x:c r="V940" s="92"/>
      <x:c r="W940" s="92"/>
      <x:c r="X940" s="92"/>
      <x:c r="Y940" s="92"/>
      <x:c r="Z940" s="92"/>
    </x:row>
    <x:row r="941" spans="1:26">
      <x:c r="A941" s="106"/>
      <x:c r="B941" s="106"/>
      <x:c r="C941" s="106"/>
      <x:c r="D941" s="107"/>
      <x:c r="E941" s="108"/>
      <x:c r="F941" s="106"/>
      <x:c r="G941" s="106"/>
      <x:c r="H941" s="109"/>
      <x:c r="I941" s="110"/>
      <x:c r="J941" s="100"/>
      <x:c r="K941" s="100"/>
      <x:c r="L941" s="100"/>
      <x:c r="M941" s="100"/>
      <x:c r="N941" s="100"/>
      <x:c r="O941" s="100"/>
      <x:c r="P941" s="100"/>
      <x:c r="Q941" s="100"/>
      <x:c r="R941" s="100"/>
      <x:c r="S941" s="100"/>
      <x:c r="T941" s="100"/>
      <x:c r="U941" s="100"/>
      <x:c r="V941" s="100"/>
      <x:c r="W941" s="100"/>
      <x:c r="X941" s="100"/>
      <x:c r="Y941" s="100"/>
      <x:c r="Z941" s="100"/>
    </x:row>
    <x:row r="942" spans="1:26">
      <x:c r="A942" s="111"/>
      <x:c r="B942" s="111"/>
      <x:c r="C942" s="111"/>
      <x:c r="D942" s="112"/>
      <x:c r="E942" s="113"/>
      <x:c r="F942" s="111"/>
      <x:c r="G942" s="111"/>
      <x:c r="H942" s="114"/>
      <x:c r="I942" s="115"/>
      <x:c r="J942" s="92"/>
      <x:c r="K942" s="92"/>
      <x:c r="L942" s="92"/>
      <x:c r="M942" s="92"/>
      <x:c r="N942" s="92"/>
      <x:c r="O942" s="92"/>
      <x:c r="P942" s="92"/>
      <x:c r="Q942" s="92"/>
      <x:c r="R942" s="92"/>
      <x:c r="S942" s="92"/>
      <x:c r="T942" s="92"/>
      <x:c r="U942" s="92"/>
      <x:c r="V942" s="92"/>
      <x:c r="W942" s="92"/>
      <x:c r="X942" s="92"/>
      <x:c r="Y942" s="92"/>
      <x:c r="Z942" s="92"/>
    </x:row>
    <x:row r="943" spans="1:26">
      <x:c r="A943" s="106"/>
      <x:c r="B943" s="106"/>
      <x:c r="C943" s="106"/>
      <x:c r="D943" s="107"/>
      <x:c r="E943" s="108"/>
      <x:c r="F943" s="106"/>
      <x:c r="G943" s="106"/>
      <x:c r="H943" s="109"/>
      <x:c r="I943" s="110"/>
      <x:c r="J943" s="100"/>
      <x:c r="K943" s="100"/>
      <x:c r="L943" s="100"/>
      <x:c r="M943" s="100"/>
      <x:c r="N943" s="100"/>
      <x:c r="O943" s="100"/>
      <x:c r="P943" s="100"/>
      <x:c r="Q943" s="100"/>
      <x:c r="R943" s="100"/>
      <x:c r="S943" s="100"/>
      <x:c r="T943" s="100"/>
      <x:c r="U943" s="100"/>
      <x:c r="V943" s="100"/>
      <x:c r="W943" s="100"/>
      <x:c r="X943" s="100"/>
      <x:c r="Y943" s="100"/>
      <x:c r="Z943" s="100"/>
    </x:row>
    <x:row r="944" spans="1:26">
      <x:c r="A944" s="111"/>
      <x:c r="B944" s="111"/>
      <x:c r="C944" s="111"/>
      <x:c r="D944" s="112"/>
      <x:c r="E944" s="113"/>
      <x:c r="F944" s="111"/>
      <x:c r="G944" s="111"/>
      <x:c r="H944" s="114"/>
      <x:c r="I944" s="115"/>
      <x:c r="J944" s="92"/>
      <x:c r="K944" s="92"/>
      <x:c r="L944" s="92"/>
      <x:c r="M944" s="92"/>
      <x:c r="N944" s="92"/>
      <x:c r="O944" s="92"/>
      <x:c r="P944" s="92"/>
      <x:c r="Q944" s="92"/>
      <x:c r="R944" s="92"/>
      <x:c r="S944" s="92"/>
      <x:c r="T944" s="92"/>
      <x:c r="U944" s="92"/>
      <x:c r="V944" s="92"/>
      <x:c r="W944" s="92"/>
      <x:c r="X944" s="92"/>
      <x:c r="Y944" s="92"/>
      <x:c r="Z944" s="92"/>
    </x:row>
    <x:row r="945" spans="1:26">
      <x:c r="A945" s="106"/>
      <x:c r="B945" s="106"/>
      <x:c r="C945" s="106"/>
      <x:c r="D945" s="107"/>
      <x:c r="E945" s="108"/>
      <x:c r="F945" s="106"/>
      <x:c r="G945" s="106"/>
      <x:c r="H945" s="109"/>
      <x:c r="I945" s="110"/>
      <x:c r="J945" s="100"/>
      <x:c r="K945" s="100"/>
      <x:c r="L945" s="100"/>
      <x:c r="M945" s="100"/>
      <x:c r="N945" s="100"/>
      <x:c r="O945" s="100"/>
      <x:c r="P945" s="100"/>
      <x:c r="Q945" s="100"/>
      <x:c r="R945" s="100"/>
      <x:c r="S945" s="100"/>
      <x:c r="T945" s="100"/>
      <x:c r="U945" s="100"/>
      <x:c r="V945" s="100"/>
      <x:c r="W945" s="100"/>
      <x:c r="X945" s="100"/>
      <x:c r="Y945" s="100"/>
      <x:c r="Z945" s="100"/>
    </x:row>
    <x:row r="946" spans="1:26">
      <x:c r="A946" s="111"/>
      <x:c r="B946" s="111"/>
      <x:c r="C946" s="111"/>
      <x:c r="D946" s="112"/>
      <x:c r="E946" s="113"/>
      <x:c r="F946" s="111"/>
      <x:c r="G946" s="111"/>
      <x:c r="H946" s="114"/>
      <x:c r="I946" s="115"/>
      <x:c r="J946" s="92"/>
      <x:c r="K946" s="92"/>
      <x:c r="L946" s="92"/>
      <x:c r="M946" s="92"/>
      <x:c r="N946" s="92"/>
      <x:c r="O946" s="92"/>
      <x:c r="P946" s="92"/>
      <x:c r="Q946" s="92"/>
      <x:c r="R946" s="92"/>
      <x:c r="S946" s="92"/>
      <x:c r="T946" s="92"/>
      <x:c r="U946" s="92"/>
      <x:c r="V946" s="92"/>
      <x:c r="W946" s="92"/>
      <x:c r="X946" s="92"/>
      <x:c r="Y946" s="92"/>
      <x:c r="Z946" s="92"/>
    </x:row>
    <x:row r="947" spans="1:26">
      <x:c r="A947" s="106"/>
      <x:c r="B947" s="106"/>
      <x:c r="C947" s="106"/>
      <x:c r="D947" s="107"/>
      <x:c r="E947" s="108"/>
      <x:c r="F947" s="106"/>
      <x:c r="G947" s="106"/>
      <x:c r="H947" s="109"/>
      <x:c r="I947" s="110"/>
      <x:c r="J947" s="100"/>
      <x:c r="K947" s="100"/>
      <x:c r="L947" s="100"/>
      <x:c r="M947" s="100"/>
      <x:c r="N947" s="100"/>
      <x:c r="O947" s="100"/>
      <x:c r="P947" s="100"/>
      <x:c r="Q947" s="100"/>
      <x:c r="R947" s="100"/>
      <x:c r="S947" s="100"/>
      <x:c r="T947" s="100"/>
      <x:c r="U947" s="100"/>
      <x:c r="V947" s="100"/>
      <x:c r="W947" s="100"/>
      <x:c r="X947" s="100"/>
      <x:c r="Y947" s="100"/>
      <x:c r="Z947" s="100"/>
    </x:row>
    <x:row r="948" spans="1:26">
      <x:c r="A948" s="111"/>
      <x:c r="B948" s="111"/>
      <x:c r="C948" s="111"/>
      <x:c r="D948" s="112"/>
      <x:c r="E948" s="113"/>
      <x:c r="F948" s="111"/>
      <x:c r="G948" s="111"/>
      <x:c r="H948" s="114"/>
      <x:c r="I948" s="115"/>
      <x:c r="J948" s="92"/>
      <x:c r="K948" s="92"/>
      <x:c r="L948" s="92"/>
      <x:c r="M948" s="92"/>
      <x:c r="N948" s="92"/>
      <x:c r="O948" s="92"/>
      <x:c r="P948" s="92"/>
      <x:c r="Q948" s="92"/>
      <x:c r="R948" s="92"/>
      <x:c r="S948" s="92"/>
      <x:c r="T948" s="92"/>
      <x:c r="U948" s="92"/>
      <x:c r="V948" s="92"/>
      <x:c r="W948" s="92"/>
      <x:c r="X948" s="92"/>
      <x:c r="Y948" s="92"/>
      <x:c r="Z948" s="92"/>
    </x:row>
    <x:row r="949" spans="1:26">
      <x:c r="A949" s="106"/>
      <x:c r="B949" s="106"/>
      <x:c r="C949" s="106"/>
      <x:c r="D949" s="107"/>
      <x:c r="E949" s="108"/>
      <x:c r="F949" s="106"/>
      <x:c r="G949" s="106"/>
      <x:c r="H949" s="109"/>
      <x:c r="I949" s="110"/>
      <x:c r="J949" s="100"/>
      <x:c r="K949" s="100"/>
      <x:c r="L949" s="100"/>
      <x:c r="M949" s="100"/>
      <x:c r="N949" s="100"/>
      <x:c r="O949" s="100"/>
      <x:c r="P949" s="100"/>
      <x:c r="Q949" s="100"/>
      <x:c r="R949" s="100"/>
      <x:c r="S949" s="100"/>
      <x:c r="T949" s="100"/>
      <x:c r="U949" s="100"/>
      <x:c r="V949" s="100"/>
      <x:c r="W949" s="100"/>
      <x:c r="X949" s="100"/>
      <x:c r="Y949" s="100"/>
      <x:c r="Z949" s="100"/>
    </x:row>
    <x:row r="950" spans="1:26">
      <x:c r="A950" s="111"/>
      <x:c r="B950" s="111"/>
      <x:c r="C950" s="111"/>
      <x:c r="D950" s="112"/>
      <x:c r="E950" s="113"/>
      <x:c r="F950" s="111"/>
      <x:c r="G950" s="111"/>
      <x:c r="H950" s="114"/>
      <x:c r="I950" s="115"/>
      <x:c r="J950" s="92"/>
      <x:c r="K950" s="92"/>
      <x:c r="L950" s="92"/>
      <x:c r="M950" s="92"/>
      <x:c r="N950" s="92"/>
      <x:c r="O950" s="92"/>
      <x:c r="P950" s="92"/>
      <x:c r="Q950" s="92"/>
      <x:c r="R950" s="92"/>
      <x:c r="S950" s="92"/>
      <x:c r="T950" s="92"/>
      <x:c r="U950" s="92"/>
      <x:c r="V950" s="92"/>
      <x:c r="W950" s="92"/>
      <x:c r="X950" s="92"/>
      <x:c r="Y950" s="92"/>
      <x:c r="Z950" s="92"/>
    </x:row>
    <x:row r="951" spans="1:26">
      <x:c r="A951" s="106"/>
      <x:c r="B951" s="106"/>
      <x:c r="C951" s="106"/>
      <x:c r="D951" s="107"/>
      <x:c r="E951" s="108"/>
      <x:c r="F951" s="106"/>
      <x:c r="G951" s="106"/>
      <x:c r="H951" s="109"/>
      <x:c r="I951" s="110"/>
      <x:c r="J951" s="100"/>
      <x:c r="K951" s="100"/>
      <x:c r="L951" s="100"/>
      <x:c r="M951" s="100"/>
      <x:c r="N951" s="100"/>
      <x:c r="O951" s="100"/>
      <x:c r="P951" s="100"/>
      <x:c r="Q951" s="100"/>
      <x:c r="R951" s="100"/>
      <x:c r="S951" s="100"/>
      <x:c r="T951" s="100"/>
      <x:c r="U951" s="100"/>
      <x:c r="V951" s="100"/>
      <x:c r="W951" s="100"/>
      <x:c r="X951" s="100"/>
      <x:c r="Y951" s="100"/>
      <x:c r="Z951" s="100"/>
    </x:row>
    <x:row r="952" spans="1:26">
      <x:c r="A952" s="111"/>
      <x:c r="B952" s="111"/>
      <x:c r="C952" s="111"/>
      <x:c r="D952" s="112"/>
      <x:c r="E952" s="113"/>
      <x:c r="F952" s="111"/>
      <x:c r="G952" s="111"/>
      <x:c r="H952" s="114"/>
      <x:c r="I952" s="115"/>
      <x:c r="J952" s="92"/>
      <x:c r="K952" s="92"/>
      <x:c r="L952" s="92"/>
      <x:c r="M952" s="92"/>
      <x:c r="N952" s="92"/>
      <x:c r="O952" s="92"/>
      <x:c r="P952" s="92"/>
      <x:c r="Q952" s="92"/>
      <x:c r="R952" s="92"/>
      <x:c r="S952" s="92"/>
      <x:c r="T952" s="92"/>
      <x:c r="U952" s="92"/>
      <x:c r="V952" s="92"/>
      <x:c r="W952" s="92"/>
      <x:c r="X952" s="92"/>
      <x:c r="Y952" s="92"/>
      <x:c r="Z952" s="92"/>
    </x:row>
    <x:row r="953" spans="1:26">
      <x:c r="A953" s="106"/>
      <x:c r="B953" s="106"/>
      <x:c r="C953" s="106"/>
      <x:c r="D953" s="107"/>
      <x:c r="E953" s="108"/>
      <x:c r="F953" s="106"/>
      <x:c r="G953" s="106"/>
      <x:c r="H953" s="109"/>
      <x:c r="I953" s="110"/>
      <x:c r="J953" s="100"/>
      <x:c r="K953" s="100"/>
      <x:c r="L953" s="100"/>
      <x:c r="M953" s="100"/>
      <x:c r="N953" s="100"/>
      <x:c r="O953" s="100"/>
      <x:c r="P953" s="100"/>
      <x:c r="Q953" s="100"/>
      <x:c r="R953" s="100"/>
      <x:c r="S953" s="100"/>
      <x:c r="T953" s="100"/>
      <x:c r="U953" s="100"/>
      <x:c r="V953" s="100"/>
      <x:c r="W953" s="100"/>
      <x:c r="X953" s="100"/>
      <x:c r="Y953" s="100"/>
      <x:c r="Z953" s="100"/>
    </x:row>
    <x:row r="954" spans="1:26">
      <x:c r="A954" s="111"/>
      <x:c r="B954" s="111"/>
      <x:c r="C954" s="111"/>
      <x:c r="D954" s="112"/>
      <x:c r="E954" s="113"/>
      <x:c r="F954" s="111"/>
      <x:c r="G954" s="111"/>
      <x:c r="H954" s="114"/>
      <x:c r="I954" s="115"/>
      <x:c r="J954" s="92"/>
      <x:c r="K954" s="92"/>
      <x:c r="L954" s="92"/>
      <x:c r="M954" s="92"/>
      <x:c r="N954" s="92"/>
      <x:c r="O954" s="92"/>
      <x:c r="P954" s="92"/>
      <x:c r="Q954" s="92"/>
      <x:c r="R954" s="92"/>
      <x:c r="S954" s="92"/>
      <x:c r="T954" s="92"/>
      <x:c r="U954" s="92"/>
      <x:c r="V954" s="92"/>
      <x:c r="W954" s="92"/>
      <x:c r="X954" s="92"/>
      <x:c r="Y954" s="92"/>
      <x:c r="Z954" s="92"/>
    </x:row>
    <x:row r="955" spans="1:26">
      <x:c r="A955" s="106"/>
      <x:c r="B955" s="106"/>
      <x:c r="C955" s="106"/>
      <x:c r="D955" s="107"/>
      <x:c r="E955" s="108"/>
      <x:c r="F955" s="106"/>
      <x:c r="G955" s="106"/>
      <x:c r="H955" s="109"/>
      <x:c r="I955" s="110"/>
      <x:c r="J955" s="100"/>
      <x:c r="K955" s="100"/>
      <x:c r="L955" s="100"/>
      <x:c r="M955" s="100"/>
      <x:c r="N955" s="100"/>
      <x:c r="O955" s="100"/>
      <x:c r="P955" s="100"/>
      <x:c r="Q955" s="100"/>
      <x:c r="R955" s="100"/>
      <x:c r="S955" s="100"/>
      <x:c r="T955" s="100"/>
      <x:c r="U955" s="100"/>
      <x:c r="V955" s="100"/>
      <x:c r="W955" s="100"/>
      <x:c r="X955" s="100"/>
      <x:c r="Y955" s="100"/>
      <x:c r="Z955" s="100"/>
    </x:row>
    <x:row r="956" spans="1:26">
      <x:c r="A956" s="111"/>
      <x:c r="B956" s="111"/>
      <x:c r="C956" s="111"/>
      <x:c r="D956" s="112"/>
      <x:c r="E956" s="113"/>
      <x:c r="F956" s="111"/>
      <x:c r="G956" s="111"/>
      <x:c r="H956" s="114"/>
      <x:c r="I956" s="115"/>
      <x:c r="J956" s="92"/>
      <x:c r="K956" s="92"/>
      <x:c r="L956" s="92"/>
      <x:c r="M956" s="92"/>
      <x:c r="N956" s="92"/>
      <x:c r="O956" s="92"/>
      <x:c r="P956" s="92"/>
      <x:c r="Q956" s="92"/>
      <x:c r="R956" s="92"/>
      <x:c r="S956" s="92"/>
      <x:c r="T956" s="92"/>
      <x:c r="U956" s="92"/>
      <x:c r="V956" s="92"/>
      <x:c r="W956" s="92"/>
      <x:c r="X956" s="92"/>
      <x:c r="Y956" s="92"/>
      <x:c r="Z956" s="92"/>
    </x:row>
    <x:row r="957" spans="1:26">
      <x:c r="A957" s="106"/>
      <x:c r="B957" s="106"/>
      <x:c r="C957" s="106"/>
      <x:c r="D957" s="107"/>
      <x:c r="E957" s="108"/>
      <x:c r="F957" s="106"/>
      <x:c r="G957" s="106"/>
      <x:c r="H957" s="109"/>
      <x:c r="I957" s="110"/>
      <x:c r="J957" s="100"/>
      <x:c r="K957" s="100"/>
      <x:c r="L957" s="100"/>
      <x:c r="M957" s="100"/>
      <x:c r="N957" s="100"/>
      <x:c r="O957" s="100"/>
      <x:c r="P957" s="100"/>
      <x:c r="Q957" s="100"/>
      <x:c r="R957" s="100"/>
      <x:c r="S957" s="100"/>
      <x:c r="T957" s="100"/>
      <x:c r="U957" s="100"/>
      <x:c r="V957" s="100"/>
      <x:c r="W957" s="100"/>
      <x:c r="X957" s="100"/>
      <x:c r="Y957" s="100"/>
      <x:c r="Z957" s="100"/>
    </x:row>
    <x:row r="958" spans="1:26">
      <x:c r="A958" s="111"/>
      <x:c r="B958" s="111"/>
      <x:c r="C958" s="111"/>
      <x:c r="D958" s="112"/>
      <x:c r="E958" s="113"/>
      <x:c r="F958" s="111"/>
      <x:c r="G958" s="111"/>
      <x:c r="H958" s="114"/>
      <x:c r="I958" s="115"/>
      <x:c r="J958" s="92"/>
      <x:c r="K958" s="92"/>
      <x:c r="L958" s="92"/>
      <x:c r="M958" s="92"/>
      <x:c r="N958" s="92"/>
      <x:c r="O958" s="92"/>
      <x:c r="P958" s="92"/>
      <x:c r="Q958" s="92"/>
      <x:c r="R958" s="92"/>
      <x:c r="S958" s="92"/>
      <x:c r="T958" s="92"/>
      <x:c r="U958" s="92"/>
      <x:c r="V958" s="92"/>
      <x:c r="W958" s="92"/>
      <x:c r="X958" s="92"/>
      <x:c r="Y958" s="92"/>
      <x:c r="Z958" s="92"/>
    </x:row>
    <x:row r="959" spans="1:26">
      <x:c r="A959" s="106"/>
      <x:c r="B959" s="106"/>
      <x:c r="C959" s="106"/>
      <x:c r="D959" s="107"/>
      <x:c r="E959" s="108"/>
      <x:c r="F959" s="106"/>
      <x:c r="G959" s="106"/>
      <x:c r="H959" s="109"/>
      <x:c r="I959" s="110"/>
      <x:c r="J959" s="100"/>
      <x:c r="K959" s="100"/>
      <x:c r="L959" s="100"/>
      <x:c r="M959" s="100"/>
      <x:c r="N959" s="100"/>
      <x:c r="O959" s="100"/>
      <x:c r="P959" s="100"/>
      <x:c r="Q959" s="100"/>
      <x:c r="R959" s="100"/>
      <x:c r="S959" s="100"/>
      <x:c r="T959" s="100"/>
      <x:c r="U959" s="100"/>
      <x:c r="V959" s="100"/>
      <x:c r="W959" s="100"/>
      <x:c r="X959" s="100"/>
      <x:c r="Y959" s="100"/>
      <x:c r="Z959" s="100"/>
    </x:row>
    <x:row r="960" spans="1:26">
      <x:c r="A960" s="111"/>
      <x:c r="B960" s="111"/>
      <x:c r="C960" s="111"/>
      <x:c r="D960" s="112"/>
      <x:c r="E960" s="113"/>
      <x:c r="F960" s="111"/>
      <x:c r="G960" s="111"/>
      <x:c r="H960" s="114"/>
      <x:c r="I960" s="115"/>
      <x:c r="J960" s="92"/>
      <x:c r="K960" s="92"/>
      <x:c r="L960" s="92"/>
      <x:c r="M960" s="92"/>
      <x:c r="N960" s="92"/>
      <x:c r="O960" s="92"/>
      <x:c r="P960" s="92"/>
      <x:c r="Q960" s="92"/>
      <x:c r="R960" s="92"/>
      <x:c r="S960" s="92"/>
      <x:c r="T960" s="92"/>
      <x:c r="U960" s="92"/>
      <x:c r="V960" s="92"/>
      <x:c r="W960" s="92"/>
      <x:c r="X960" s="92"/>
      <x:c r="Y960" s="92"/>
      <x:c r="Z960" s="92"/>
    </x:row>
    <x:row r="961" spans="1:26">
      <x:c r="A961" s="106"/>
      <x:c r="B961" s="106"/>
      <x:c r="C961" s="106"/>
      <x:c r="D961" s="107"/>
      <x:c r="E961" s="108"/>
      <x:c r="F961" s="106"/>
      <x:c r="G961" s="106"/>
      <x:c r="H961" s="109"/>
      <x:c r="I961" s="110"/>
      <x:c r="J961" s="100"/>
      <x:c r="K961" s="100"/>
      <x:c r="L961" s="100"/>
      <x:c r="M961" s="100"/>
      <x:c r="N961" s="100"/>
      <x:c r="O961" s="100"/>
      <x:c r="P961" s="100"/>
      <x:c r="Q961" s="100"/>
      <x:c r="R961" s="100"/>
      <x:c r="S961" s="100"/>
      <x:c r="T961" s="100"/>
      <x:c r="U961" s="100"/>
      <x:c r="V961" s="100"/>
      <x:c r="W961" s="100"/>
      <x:c r="X961" s="100"/>
      <x:c r="Y961" s="100"/>
      <x:c r="Z961" s="100"/>
    </x:row>
    <x:row r="962" spans="1:26">
      <x:c r="A962" s="111"/>
      <x:c r="B962" s="111"/>
      <x:c r="C962" s="111"/>
      <x:c r="D962" s="112"/>
      <x:c r="E962" s="113"/>
      <x:c r="F962" s="111"/>
      <x:c r="G962" s="111"/>
      <x:c r="H962" s="114"/>
      <x:c r="I962" s="115"/>
      <x:c r="J962" s="92"/>
      <x:c r="K962" s="92"/>
      <x:c r="L962" s="92"/>
      <x:c r="M962" s="92"/>
      <x:c r="N962" s="92"/>
      <x:c r="O962" s="92"/>
      <x:c r="P962" s="92"/>
      <x:c r="Q962" s="92"/>
      <x:c r="R962" s="92"/>
      <x:c r="S962" s="92"/>
      <x:c r="T962" s="92"/>
      <x:c r="U962" s="92"/>
      <x:c r="V962" s="92"/>
      <x:c r="W962" s="92"/>
      <x:c r="X962" s="92"/>
      <x:c r="Y962" s="92"/>
      <x:c r="Z962" s="92"/>
    </x:row>
    <x:row r="963" spans="1:26">
      <x:c r="A963" s="106"/>
      <x:c r="B963" s="106"/>
      <x:c r="C963" s="106"/>
      <x:c r="D963" s="107"/>
      <x:c r="E963" s="108"/>
      <x:c r="F963" s="106"/>
      <x:c r="G963" s="106"/>
      <x:c r="H963" s="109"/>
      <x:c r="I963" s="110"/>
      <x:c r="J963" s="100"/>
      <x:c r="K963" s="100"/>
      <x:c r="L963" s="100"/>
      <x:c r="M963" s="100"/>
      <x:c r="N963" s="100"/>
      <x:c r="O963" s="100"/>
      <x:c r="P963" s="100"/>
      <x:c r="Q963" s="100"/>
      <x:c r="R963" s="100"/>
      <x:c r="S963" s="100"/>
      <x:c r="T963" s="100"/>
      <x:c r="U963" s="100"/>
      <x:c r="V963" s="100"/>
      <x:c r="W963" s="100"/>
      <x:c r="X963" s="100"/>
      <x:c r="Y963" s="100"/>
      <x:c r="Z963" s="100"/>
    </x:row>
    <x:row r="964" spans="1:26">
      <x:c r="A964" s="111"/>
      <x:c r="B964" s="111"/>
      <x:c r="C964" s="111"/>
      <x:c r="D964" s="112"/>
      <x:c r="E964" s="113"/>
      <x:c r="F964" s="111"/>
      <x:c r="G964" s="111"/>
      <x:c r="H964" s="114"/>
      <x:c r="I964" s="115"/>
      <x:c r="J964" s="92"/>
      <x:c r="K964" s="92"/>
      <x:c r="L964" s="92"/>
      <x:c r="M964" s="92"/>
      <x:c r="N964" s="92"/>
      <x:c r="O964" s="92"/>
      <x:c r="P964" s="92"/>
      <x:c r="Q964" s="92"/>
      <x:c r="R964" s="92"/>
      <x:c r="S964" s="92"/>
      <x:c r="T964" s="92"/>
      <x:c r="U964" s="92"/>
      <x:c r="V964" s="92"/>
      <x:c r="W964" s="92"/>
      <x:c r="X964" s="92"/>
      <x:c r="Y964" s="92"/>
      <x:c r="Z964" s="92"/>
    </x:row>
    <x:row r="965" spans="1:26">
      <x:c r="A965" s="106"/>
      <x:c r="B965" s="106"/>
      <x:c r="C965" s="106"/>
      <x:c r="D965" s="107"/>
      <x:c r="E965" s="108"/>
      <x:c r="F965" s="106"/>
      <x:c r="G965" s="106"/>
      <x:c r="H965" s="109"/>
      <x:c r="I965" s="110"/>
      <x:c r="J965" s="100"/>
      <x:c r="K965" s="100"/>
      <x:c r="L965" s="100"/>
      <x:c r="M965" s="100"/>
      <x:c r="N965" s="100"/>
      <x:c r="O965" s="100"/>
      <x:c r="P965" s="100"/>
      <x:c r="Q965" s="100"/>
      <x:c r="R965" s="100"/>
      <x:c r="S965" s="100"/>
      <x:c r="T965" s="100"/>
      <x:c r="U965" s="100"/>
      <x:c r="V965" s="100"/>
      <x:c r="W965" s="100"/>
      <x:c r="X965" s="100"/>
      <x:c r="Y965" s="100"/>
      <x:c r="Z965" s="100"/>
    </x:row>
    <x:row r="966" spans="1:26">
      <x:c r="A966" s="111"/>
      <x:c r="B966" s="111"/>
      <x:c r="C966" s="111"/>
      <x:c r="D966" s="112"/>
      <x:c r="E966" s="113"/>
      <x:c r="F966" s="111"/>
      <x:c r="G966" s="111"/>
      <x:c r="H966" s="114"/>
      <x:c r="I966" s="115"/>
      <x:c r="J966" s="92"/>
      <x:c r="K966" s="92"/>
      <x:c r="L966" s="92"/>
      <x:c r="M966" s="92"/>
      <x:c r="N966" s="92"/>
      <x:c r="O966" s="92"/>
      <x:c r="P966" s="92"/>
      <x:c r="Q966" s="92"/>
      <x:c r="R966" s="92"/>
      <x:c r="S966" s="92"/>
      <x:c r="T966" s="92"/>
      <x:c r="U966" s="92"/>
      <x:c r="V966" s="92"/>
      <x:c r="W966" s="92"/>
      <x:c r="X966" s="92"/>
      <x:c r="Y966" s="92"/>
      <x:c r="Z966" s="92"/>
    </x:row>
    <x:row r="967" spans="1:26">
      <x:c r="A967" s="106"/>
      <x:c r="B967" s="106"/>
      <x:c r="C967" s="106"/>
      <x:c r="D967" s="107"/>
      <x:c r="E967" s="108"/>
      <x:c r="F967" s="106"/>
      <x:c r="G967" s="106"/>
      <x:c r="H967" s="109"/>
      <x:c r="I967" s="110"/>
      <x:c r="J967" s="100"/>
      <x:c r="K967" s="100"/>
      <x:c r="L967" s="100"/>
      <x:c r="M967" s="100"/>
      <x:c r="N967" s="100"/>
      <x:c r="O967" s="100"/>
      <x:c r="P967" s="100"/>
      <x:c r="Q967" s="100"/>
      <x:c r="R967" s="100"/>
      <x:c r="S967" s="100"/>
      <x:c r="T967" s="100"/>
      <x:c r="U967" s="100"/>
      <x:c r="V967" s="100"/>
      <x:c r="W967" s="100"/>
      <x:c r="X967" s="100"/>
      <x:c r="Y967" s="100"/>
      <x:c r="Z967" s="100"/>
    </x:row>
  </x:sheetData>
  <x:autoFilter ref="A1:Z70"/>
  <x:conditionalFormatting sqref="H1:H967">
    <x:cfRule type="expression" dxfId="12" priority="1">
      <x:formula>$H$1:$H967-TODAY()&lt;30</x:formula>
    </x:cfRule>
  </x:conditionalFormatting>
  <x:printOptions horizontalCentered="1" verticalCentered="0" headings="0" gridLines="1" gridLinesSet="1"/>
  <x:pageMargins left="0.69972223043441772" right="0.69972223043441772" top="0.75" bottom="0.75" header="0" footer="0"/>
  <x:pageSetup paperSize="9" scale="100" firstPageNumber="1" fitToWidth="1" fitToHeight="0" pageOrder="overThenDown" orientation="landscape" usePrinterDefaults="1" blackAndWhite="0" draft="0" cellComments="atEnd" useFirstPageNumber="0" horizontalDpi="600" verticalDpi="600" copies="1"/>
  <x:legacy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J198"/>
  <x:sheetViews>
    <x:sheetView topLeftCell="A1" zoomScaleNormal="100" zoomScaleSheetLayoutView="75" workbookViewId="0">
      <x:selection activeCell="A1" activeCellId="0" sqref="A1:A1"/>
    </x:sheetView>
  </x:sheetViews>
  <x:sheetFormatPr defaultColWidth="12.62890625" defaultRowHeight="15.75" customHeight="1"/>
  <x:cols>
    <x:col min="2" max="2" width="18.25" style="1" customWidth="1"/>
    <x:col min="3" max="3" width="16.62890625" style="1" customWidth="1"/>
    <x:col min="4" max="4" width="7.75" style="1" customWidth="1"/>
    <x:col min="5" max="5" width="9.87890625" style="1" customWidth="1"/>
    <x:col min="6" max="6" width="6.25" style="1" customWidth="1"/>
    <x:col min="7" max="7" width="24.5" style="1" hidden="1" customWidth="1"/>
    <x:col min="8" max="8" width="24.87890625" style="1" customWidth="1"/>
    <x:col min="9" max="9" width="14" style="1" customWidth="1"/>
    <x:col min="10" max="10" width="6.87890625" style="1" customWidth="1"/>
  </x:cols>
  <x:sheetData>
    <x:row r="1" spans="1:10">
      <x:c r="A1" s="2" t="s">
        <x:v>645</x:v>
      </x:c>
      <x:c r="B1" s="2" t="s">
        <x:v>629</x:v>
      </x:c>
      <x:c r="C1" s="2" t="s">
        <x:v>623</x:v>
      </x:c>
      <x:c r="D1" s="2" t="s">
        <x:v>619</x:v>
      </x:c>
      <x:c r="E1" s="2" t="s">
        <x:v>647</x:v>
      </x:c>
      <x:c r="F1" s="2" t="s">
        <x:v>632</x:v>
      </x:c>
      <x:c r="G1" s="3" t="s">
        <x:v>622</x:v>
      </x:c>
      <x:c r="H1" s="3" t="s">
        <x:v>622</x:v>
      </x:c>
      <x:c r="I1" s="4" t="s">
        <x:v>545</x:v>
      </x:c>
      <x:c r="J1" s="116" t="s">
        <x:v>661</x:v>
      </x:c>
    </x:row>
    <x:row r="2" spans="1:10">
      <x:c r="A2" s="6" t="s">
        <x:v>672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spans="1:10">
      <x:c r="A3" s="171"/>
      <x:c r="B3" s="8"/>
      <x:c r="C3" s="8"/>
      <x:c r="D3" s="8"/>
      <x:c r="E3" s="8"/>
      <x:c r="F3" s="8"/>
      <x:c r="G3" s="8"/>
      <x:c r="H3" s="8"/>
      <x:c r="I3" s="8"/>
      <x:c r="J3" s="8"/>
    </x:row>
    <x:row r="4" spans="1:10">
      <x:c r="A4" s="172"/>
      <x:c r="B4" s="7"/>
      <x:c r="C4" s="7"/>
      <x:c r="D4" s="7"/>
      <x:c r="E4" s="7"/>
      <x:c r="F4" s="7"/>
      <x:c r="G4" s="7"/>
      <x:c r="H4" s="7"/>
      <x:c r="I4" s="7"/>
      <x:c r="J4" s="7"/>
    </x:row>
    <x:row r="5" spans="1:10">
      <x:c r="A5" s="173"/>
      <x:c r="B5" s="8"/>
      <x:c r="C5" s="8"/>
      <x:c r="D5" s="8"/>
      <x:c r="E5" s="8"/>
      <x:c r="F5" s="8"/>
      <x:c r="G5" s="8"/>
      <x:c r="H5" s="8"/>
      <x:c r="I5" s="8"/>
      <x:c r="J5" s="8"/>
    </x:row>
    <x:row r="6" spans="1:10">
      <x:c r="A6" s="172"/>
      <x:c r="B6" s="7"/>
      <x:c r="C6" s="7"/>
      <x:c r="D6" s="7"/>
      <x:c r="E6" s="7"/>
      <x:c r="F6" s="7"/>
      <x:c r="G6" s="7"/>
      <x:c r="H6" s="7"/>
      <x:c r="I6" s="7"/>
      <x:c r="J6" s="7"/>
    </x:row>
    <x:row r="7" spans="1:10">
      <x:c r="A7" s="173"/>
      <x:c r="B7" s="8"/>
      <x:c r="C7" s="8"/>
      <x:c r="D7" s="8"/>
      <x:c r="E7" s="8"/>
      <x:c r="F7" s="8"/>
      <x:c r="G7" s="8"/>
      <x:c r="H7" s="8"/>
      <x:c r="I7" s="8"/>
      <x:c r="J7" s="8"/>
    </x:row>
    <x:row r="8" spans="1:10">
      <x:c r="A8" s="172"/>
      <x:c r="B8" s="7"/>
      <x:c r="C8" s="7"/>
      <x:c r="D8" s="7"/>
      <x:c r="E8" s="7"/>
      <x:c r="F8" s="7"/>
      <x:c r="G8" s="7"/>
      <x:c r="H8" s="7"/>
      <x:c r="I8" s="7"/>
      <x:c r="J8" s="7"/>
    </x:row>
    <x:row r="9" spans="1:10">
      <x:c r="A9" s="173"/>
      <x:c r="B9" s="8"/>
      <x:c r="C9" s="8"/>
      <x:c r="D9" s="8"/>
      <x:c r="E9" s="8"/>
      <x:c r="F9" s="8"/>
      <x:c r="G9" s="8"/>
      <x:c r="H9" s="8"/>
      <x:c r="I9" s="8"/>
      <x:c r="J9" s="8"/>
    </x:row>
    <x:row r="10" spans="1:10">
      <x:c r="A10" s="172"/>
      <x:c r="B10" s="7"/>
      <x:c r="C10" s="7"/>
      <x:c r="D10" s="7"/>
      <x:c r="E10" s="7"/>
      <x:c r="F10" s="7"/>
      <x:c r="G10" s="7"/>
      <x:c r="H10" s="7"/>
      <x:c r="I10" s="7"/>
      <x:c r="J10" s="7"/>
    </x:row>
    <x:row r="11" spans="1:10">
      <x:c r="A11" s="173"/>
      <x:c r="B11" s="8"/>
      <x:c r="C11" s="8"/>
      <x:c r="D11" s="8"/>
      <x:c r="E11" s="8"/>
      <x:c r="F11" s="8"/>
      <x:c r="G11" s="8"/>
      <x:c r="H11" s="8"/>
      <x:c r="I11" s="8"/>
      <x:c r="J11" s="8"/>
    </x:row>
    <x:row r="12" spans="1:10">
      <x:c r="A12" s="172"/>
      <x:c r="B12" s="7"/>
      <x:c r="C12" s="7"/>
      <x:c r="D12" s="7"/>
      <x:c r="E12" s="7"/>
      <x:c r="F12" s="7"/>
      <x:c r="G12" s="7"/>
      <x:c r="H12" s="7"/>
      <x:c r="I12" s="7"/>
      <x:c r="J12" s="7"/>
    </x:row>
    <x:row r="13" spans="1:10">
      <x:c r="A13" s="173"/>
      <x:c r="B13" s="8"/>
      <x:c r="C13" s="8"/>
      <x:c r="D13" s="8"/>
      <x:c r="E13" s="8"/>
      <x:c r="F13" s="8"/>
      <x:c r="G13" s="8"/>
      <x:c r="H13" s="8"/>
      <x:c r="I13" s="8"/>
      <x:c r="J13" s="8"/>
    </x:row>
    <x:row r="14" spans="1:10">
      <x:c r="A14" s="172"/>
      <x:c r="B14" s="7"/>
      <x:c r="C14" s="7"/>
      <x:c r="D14" s="7"/>
      <x:c r="E14" s="7"/>
      <x:c r="F14" s="7"/>
      <x:c r="G14" s="7"/>
      <x:c r="H14" s="7"/>
      <x:c r="I14" s="7"/>
      <x:c r="J14" s="7"/>
    </x:row>
    <x:row r="15" spans="1:10">
      <x:c r="A15" s="173"/>
      <x:c r="B15" s="8"/>
      <x:c r="C15" s="8"/>
      <x:c r="D15" s="8"/>
      <x:c r="E15" s="8"/>
      <x:c r="F15" s="8"/>
      <x:c r="G15" s="8"/>
      <x:c r="H15" s="8"/>
      <x:c r="I15" s="8"/>
      <x:c r="J15" s="8"/>
    </x:row>
    <x:row r="16" spans="1:10">
      <x:c r="A16" s="172"/>
      <x:c r="B16" s="7"/>
      <x:c r="C16" s="7"/>
      <x:c r="D16" s="7"/>
      <x:c r="E16" s="7"/>
      <x:c r="F16" s="7"/>
      <x:c r="G16" s="7"/>
      <x:c r="H16" s="7"/>
      <x:c r="I16" s="7"/>
      <x:c r="J16" s="7"/>
    </x:row>
    <x:row r="17" spans="1:10">
      <x:c r="A17" s="173"/>
      <x:c r="B17" s="8"/>
      <x:c r="C17" s="8"/>
      <x:c r="D17" s="8"/>
      <x:c r="E17" s="8"/>
      <x:c r="F17" s="8"/>
      <x:c r="G17" s="8"/>
      <x:c r="H17" s="8"/>
      <x:c r="I17" s="8"/>
      <x:c r="J17" s="8"/>
    </x:row>
    <x:row r="18" spans="1:10">
      <x:c r="A18" s="172"/>
      <x:c r="B18" s="7"/>
      <x:c r="C18" s="7"/>
      <x:c r="D18" s="7"/>
      <x:c r="E18" s="7"/>
      <x:c r="F18" s="7"/>
      <x:c r="G18" s="7"/>
      <x:c r="H18" s="7"/>
      <x:c r="I18" s="7"/>
      <x:c r="J18" s="7"/>
    </x:row>
    <x:row r="19" spans="1:10">
      <x:c r="A19" s="173"/>
      <x:c r="B19" s="8"/>
      <x:c r="C19" s="8"/>
      <x:c r="D19" s="8"/>
      <x:c r="E19" s="8"/>
      <x:c r="F19" s="8"/>
      <x:c r="G19" s="8"/>
      <x:c r="H19" s="8"/>
      <x:c r="I19" s="8"/>
      <x:c r="J19" s="8"/>
    </x:row>
    <x:row r="20" spans="1:10">
      <x:c r="A20" s="172"/>
      <x:c r="B20" s="7"/>
      <x:c r="C20" s="7"/>
      <x:c r="D20" s="7"/>
      <x:c r="E20" s="7"/>
      <x:c r="F20" s="7"/>
      <x:c r="G20" s="7"/>
      <x:c r="H20" s="7"/>
      <x:c r="I20" s="7"/>
      <x:c r="J20" s="7"/>
    </x:row>
    <x:row r="21" spans="1:10">
      <x:c r="A21" s="173"/>
      <x:c r="B21" s="8"/>
      <x:c r="C21" s="8"/>
      <x:c r="D21" s="8"/>
      <x:c r="E21" s="8"/>
      <x:c r="F21" s="8"/>
      <x:c r="G21" s="8"/>
      <x:c r="H21" s="8"/>
      <x:c r="I21" s="8"/>
      <x:c r="J21" s="8"/>
    </x:row>
    <x:row r="22" spans="1:10">
      <x:c r="A22" s="172"/>
      <x:c r="B22" s="7"/>
      <x:c r="C22" s="7"/>
      <x:c r="D22" s="7"/>
      <x:c r="E22" s="7"/>
      <x:c r="F22" s="7"/>
      <x:c r="G22" s="7"/>
      <x:c r="H22" s="7"/>
      <x:c r="I22" s="7"/>
      <x:c r="J22" s="7"/>
    </x:row>
    <x:row r="23" spans="1:10">
      <x:c r="A23" s="173"/>
      <x:c r="B23" s="8"/>
      <x:c r="C23" s="8"/>
      <x:c r="D23" s="8"/>
      <x:c r="E23" s="8"/>
      <x:c r="F23" s="8"/>
      <x:c r="G23" s="8"/>
      <x:c r="H23" s="8"/>
      <x:c r="I23" s="8"/>
      <x:c r="J23" s="8"/>
    </x:row>
    <x:row r="24" spans="1:10">
      <x:c r="A24" s="172"/>
      <x:c r="B24" s="7"/>
      <x:c r="C24" s="7"/>
      <x:c r="D24" s="7"/>
      <x:c r="E24" s="7"/>
      <x:c r="F24" s="7"/>
      <x:c r="G24" s="7"/>
      <x:c r="H24" s="7"/>
      <x:c r="I24" s="7"/>
      <x:c r="J24" s="7"/>
    </x:row>
    <x:row r="25" spans="1:10">
      <x:c r="A25" s="173"/>
      <x:c r="B25" s="8" t="str">
        <x:f t="array" ref="B25:B25">IFERROR(INDEX(재고장!2:734,SMALL(IF((A3=창고검색),MATCH(ROW(창고검색),ROW(창고검색)),""),ROWS($A$1:A24)),COLUMNS($A$1:A24)),"")</x:f>
        <x:v/>
      </x:c>
      <x:c r="C25" s="8" t="str">
        <x:f t="array" ref="C25:C25">IFERROR(INDEX(창고검색범위,SMALL(IF((찾을값=창고검색),MATCH(ROW(창고검색),ROW(창고검색)),""),ROWS($A$1:B24)),COLUMNS($A$1:B24)),"")</x:f>
        <x:v/>
      </x:c>
      <x:c r="D25" s="8" t="str">
        <x:f t="array" ref="D25:D25">IFERROR(INDEX(창고검색범위,SMALL(IF((찾을값=창고검색),MATCH(ROW(창고검색),ROW(창고검색)),""),ROWS($A$1:C24)),COLUMNS($A$1:C24)),"")</x:f>
        <x:v/>
      </x:c>
      <x:c r="E25" s="8" t="str">
        <x:f t="array" ref="E25:E25">IFERROR(INDEX(창고검색범위,SMALL(IF((찾을값=창고검색),MATCH(ROW(창고검색),ROW(창고검색)),""),ROWS($A$1:D24)),COLUMNS($A$1:D24)),"")</x:f>
        <x:v/>
      </x:c>
      <x:c r="F25" s="8" t="str">
        <x:f t="array" ref="F25:F25">IFERROR(INDEX(창고검색범위,SMALL(IF((찾을값=창고검색),MATCH(ROW(창고검색),ROW(창고검색)),""),ROWS($A$1:E24)),COLUMNS($A$1:E24)),"")</x:f>
        <x:v/>
      </x:c>
      <x:c r="G25" s="8" t="str">
        <x:f t="array" ref="G25:G25">IFERROR(INDEX(창고검색범위,SMALL(IF((찾을값=창고검색),MATCH(ROW(창고검색),ROW(창고검색)),""),ROWS($A$1:F24)),COLUMNS($A$1:F24)),"")</x:f>
        <x:v/>
      </x:c>
      <x:c r="H25" s="8" t="str">
        <x:f t="array" ref="H25:H25">IFERROR(INDEX(창고검색범위,SMALL(IF((찾을값=창고검색),MATCH(ROW(창고검색),ROW(창고검색)),""),ROWS($A$1:G24)),COLUMNS($A$1:G24)),"")</x:f>
        <x:v/>
      </x:c>
      <x:c r="I25" s="117" t="str">
        <x:f t="array" ref="I25:I25">IFERROR(INDEX(창고검색범위,SMALL(IF((찾을값=창고검색),MATCH(ROW(창고검색),ROW(창고검색)),""),ROWS($A$1:H24)),COLUMNS($A$1:H24)),"")</x:f>
        <x:v/>
      </x:c>
      <x:c r="J25" s="118" t="str">
        <x:f t="array" ref="J25:J25">IFERROR(INDEX(창고검색범위,SMALL(IF((찾을값=창고검색),MATCH(ROW(창고검색),ROW(창고검색)),""),ROWS($A$1:I24)),COLUMNS($A$1:I24)),"")</x:f>
        <x:v/>
      </x:c>
    </x:row>
    <x:row r="26" spans="1:10">
      <x:c r="A26" s="172"/>
      <x:c r="B26" s="7" t="str">
        <x:f t="array" ref="B26:B26">IFERROR(INDEX(창고검색범위,SMALL(IF((찾을값=창고검색),MATCH(ROW(창고검색),ROW(창고검색)),""),ROWS($A$1:A25)),COLUMNS($A$1:A25)),"")</x:f>
        <x:v/>
      </x:c>
      <x:c r="C26" s="7" t="str">
        <x:f t="array" ref="C26:C26">IFERROR(INDEX(창고검색범위,SMALL(IF((찾을값=창고검색),MATCH(ROW(창고검색),ROW(창고검색)),""),ROWS($A$1:B25)),COLUMNS($A$1:B25)),"")</x:f>
        <x:v/>
      </x:c>
      <x:c r="D26" s="7" t="str">
        <x:f t="array" ref="D26:D26">IFERROR(INDEX(창고검색범위,SMALL(IF((찾을값=창고검색),MATCH(ROW(창고검색),ROW(창고검색)),""),ROWS($A$1:C25)),COLUMNS($A$1:C25)),"")</x:f>
        <x:v/>
      </x:c>
      <x:c r="E26" s="7" t="str">
        <x:f t="array" ref="E26:E26">IFERROR(INDEX(창고검색범위,SMALL(IF((찾을값=창고검색),MATCH(ROW(창고검색),ROW(창고검색)),""),ROWS($A$1:D25)),COLUMNS($A$1:D25)),"")</x:f>
        <x:v/>
      </x:c>
      <x:c r="F26" s="7" t="str">
        <x:f t="array" ref="F26:F26">IFERROR(INDEX(창고검색범위,SMALL(IF((찾을값=창고검색),MATCH(ROW(창고검색),ROW(창고검색)),""),ROWS($A$1:E25)),COLUMNS($A$1:E25)),"")</x:f>
        <x:v/>
      </x:c>
      <x:c r="G26" s="7" t="str">
        <x:f t="array" ref="G26:G26">IFERROR(INDEX(창고검색범위,SMALL(IF((찾을값=창고검색),MATCH(ROW(창고검색),ROW(창고검색)),""),ROWS($A$1:F25)),COLUMNS($A$1:F25)),"")</x:f>
        <x:v/>
      </x:c>
      <x:c r="H26" s="7" t="str">
        <x:f t="array" ref="H26:H26">IFERROR(INDEX(창고검색범위,SMALL(IF((찾을값=창고검색),MATCH(ROW(창고검색),ROW(창고검색)),""),ROWS($A$1:G25)),COLUMNS($A$1:G25)),"")</x:f>
        <x:v/>
      </x:c>
      <x:c r="I26" s="119" t="str">
        <x:f t="array" ref="I26:I26">IFERROR(INDEX(창고검색범위,SMALL(IF((찾을값=창고검색),MATCH(ROW(창고검색),ROW(창고검색)),""),ROWS($A$1:H25)),COLUMNS($A$1:H25)),"")</x:f>
        <x:v/>
      </x:c>
      <x:c r="J26" s="120" t="str">
        <x:f t="array" ref="J26:J26">IFERROR(INDEX(창고검색범위,SMALL(IF((찾을값=창고검색),MATCH(ROW(창고검색),ROW(창고검색)),""),ROWS($A$1:I25)),COLUMNS($A$1:I25)),"")</x:f>
        <x:v/>
      </x:c>
    </x:row>
    <x:row r="27" spans="1:10">
      <x:c r="A27" s="173"/>
      <x:c r="B27" s="8"/>
      <x:c r="C27" s="8"/>
      <x:c r="D27" s="8"/>
      <x:c r="E27" s="8"/>
      <x:c r="F27" s="8"/>
      <x:c r="G27" s="8"/>
      <x:c r="H27" s="8"/>
      <x:c r="I27" s="8"/>
      <x:c r="J27" s="8"/>
    </x:row>
    <x:row r="28" spans="1:10">
      <x:c r="A28" s="172"/>
      <x:c r="B28" s="7"/>
      <x:c r="C28" s="7"/>
      <x:c r="D28" s="7"/>
      <x:c r="E28" s="7"/>
      <x:c r="F28" s="7"/>
      <x:c r="G28" s="7"/>
      <x:c r="H28" s="7"/>
      <x:c r="I28" s="7"/>
      <x:c r="J28" s="7"/>
    </x:row>
    <x:row r="29" spans="1:10">
      <x:c r="A29" s="173"/>
      <x:c r="B29" s="8"/>
      <x:c r="C29" s="8"/>
      <x:c r="D29" s="8"/>
      <x:c r="E29" s="8"/>
      <x:c r="F29" s="8"/>
      <x:c r="G29" s="8"/>
      <x:c r="H29" s="8"/>
      <x:c r="I29" s="8"/>
      <x:c r="J29" s="8"/>
    </x:row>
    <x:row r="30" spans="1:10">
      <x:c r="A30" s="172"/>
      <x:c r="B30" s="7"/>
      <x:c r="C30" s="7"/>
      <x:c r="D30" s="7"/>
      <x:c r="E30" s="7"/>
      <x:c r="F30" s="7"/>
      <x:c r="G30" s="7"/>
      <x:c r="H30" s="7"/>
      <x:c r="I30" s="7"/>
      <x:c r="J30" s="7"/>
    </x:row>
    <x:row r="31" spans="1:10">
      <x:c r="A31" s="173"/>
      <x:c r="B31" s="8"/>
      <x:c r="C31" s="8"/>
      <x:c r="D31" s="8"/>
      <x:c r="E31" s="8"/>
      <x:c r="F31" s="8"/>
      <x:c r="G31" s="8"/>
      <x:c r="H31" s="8"/>
      <x:c r="I31" s="8"/>
      <x:c r="J31" s="8"/>
    </x:row>
    <x:row r="32" spans="1:10">
      <x:c r="A32" s="172"/>
      <x:c r="B32" s="7"/>
      <x:c r="C32" s="7"/>
      <x:c r="D32" s="7"/>
      <x:c r="E32" s="7"/>
      <x:c r="F32" s="7"/>
      <x:c r="G32" s="7"/>
      <x:c r="H32" s="7"/>
      <x:c r="I32" s="7"/>
      <x:c r="J32" s="7"/>
    </x:row>
    <x:row r="33" spans="1:10">
      <x:c r="A33" s="173"/>
      <x:c r="B33" s="8"/>
      <x:c r="C33" s="8"/>
      <x:c r="D33" s="8"/>
      <x:c r="E33" s="8"/>
      <x:c r="F33" s="8"/>
      <x:c r="G33" s="8"/>
      <x:c r="H33" s="8"/>
      <x:c r="I33" s="8"/>
      <x:c r="J33" s="8"/>
    </x:row>
    <x:row r="34" spans="1:10">
      <x:c r="A34" s="172"/>
      <x:c r="B34" s="7"/>
      <x:c r="C34" s="7"/>
      <x:c r="D34" s="7"/>
      <x:c r="E34" s="7"/>
      <x:c r="F34" s="7"/>
      <x:c r="G34" s="7"/>
      <x:c r="H34" s="7"/>
      <x:c r="I34" s="7"/>
      <x:c r="J34" s="7"/>
    </x:row>
    <x:row r="35" spans="1:10">
      <x:c r="A35" s="173"/>
      <x:c r="B35" s="8"/>
      <x:c r="C35" s="8"/>
      <x:c r="D35" s="8"/>
      <x:c r="E35" s="8"/>
      <x:c r="F35" s="8"/>
      <x:c r="G35" s="8"/>
      <x:c r="H35" s="8"/>
      <x:c r="I35" s="8"/>
      <x:c r="J35" s="8"/>
    </x:row>
    <x:row r="36" spans="1:10">
      <x:c r="A36" s="172"/>
      <x:c r="B36" s="7"/>
      <x:c r="C36" s="7"/>
      <x:c r="D36" s="7"/>
      <x:c r="E36" s="7"/>
      <x:c r="F36" s="7"/>
      <x:c r="G36" s="7"/>
      <x:c r="H36" s="7"/>
      <x:c r="I36" s="7"/>
      <x:c r="J36" s="7"/>
    </x:row>
    <x:row r="37" spans="1:10">
      <x:c r="A37" s="173"/>
      <x:c r="B37" s="8"/>
      <x:c r="C37" s="8"/>
      <x:c r="D37" s="8"/>
      <x:c r="E37" s="8"/>
      <x:c r="F37" s="8"/>
      <x:c r="G37" s="8"/>
      <x:c r="H37" s="8"/>
      <x:c r="I37" s="117"/>
      <x:c r="J37" s="118"/>
    </x:row>
    <x:row r="38" spans="1:10">
      <x:c r="A38" s="172"/>
      <x:c r="B38" s="7" t="str">
        <x:f t="array" ref="B38:B38">IFERROR(INDEX(창고검색범위,SMALL(IF((찾을값=창고검색),MATCH(ROW(창고검색),ROW(창고검색)),""),ROWS($A$1:A37)),COLUMNS($A$1:A37)),"")</x:f>
        <x:v/>
      </x:c>
      <x:c r="C38" s="7" t="str">
        <x:f t="array" ref="C38:C38">IFERROR(INDEX(창고검색범위,SMALL(IF((찾을값=창고검색),MATCH(ROW(창고검색),ROW(창고검색)),""),ROWS($A$1:B37)),COLUMNS($A$1:B37)),"")</x:f>
        <x:v/>
      </x:c>
      <x:c r="D38" s="7" t="str">
        <x:f t="array" ref="D38:D38">IFERROR(INDEX(창고검색범위,SMALL(IF((찾을값=창고검색),MATCH(ROW(창고검색),ROW(창고검색)),""),ROWS($A$1:C37)),COLUMNS($A$1:C37)),"")</x:f>
        <x:v/>
      </x:c>
      <x:c r="E38" s="7" t="str">
        <x:f t="array" ref="E38:E38">IFERROR(INDEX(창고검색범위,SMALL(IF((찾을값=창고검색),MATCH(ROW(창고검색),ROW(창고검색)),""),ROWS($A$1:D37)),COLUMNS($A$1:D37)),"")</x:f>
        <x:v/>
      </x:c>
      <x:c r="F38" s="7" t="str">
        <x:f t="array" ref="F38:F38">IFERROR(INDEX(창고검색범위,SMALL(IF((찾을값=창고검색),MATCH(ROW(창고검색),ROW(창고검색)),""),ROWS($A$1:E37)),COLUMNS($A$1:E37)),"")</x:f>
        <x:v/>
      </x:c>
      <x:c r="G38" s="7" t="str">
        <x:f t="array" ref="G38:G38">IFERROR(INDEX(창고검색범위,SMALL(IF((찾을값=창고검색),MATCH(ROW(창고검색),ROW(창고검색)),""),ROWS($A$1:F37)),COLUMNS($A$1:F37)),"")</x:f>
        <x:v/>
      </x:c>
      <x:c r="H38" s="7" t="str">
        <x:f t="array" ref="H38:H38">IFERROR(INDEX(창고검색범위,SMALL(IF((찾을값=창고검색),MATCH(ROW(창고검색),ROW(창고검색)),""),ROWS($A$1:G37)),COLUMNS($A$1:G37)),"")</x:f>
        <x:v/>
      </x:c>
      <x:c r="I38" s="119" t="str">
        <x:f t="array" ref="I38:I38">IFERROR(INDEX(창고검색범위,SMALL(IF((찾을값=창고검색),MATCH(ROW(창고검색),ROW(창고검색)),""),ROWS($A$1:H37)),COLUMNS($A$1:H37)),"")</x:f>
        <x:v/>
      </x:c>
      <x:c r="J38" s="120" t="str">
        <x:f t="array" ref="J38:J38">IFERROR(INDEX(창고검색범위,SMALL(IF((찾을값=창고검색),MATCH(ROW(창고검색),ROW(창고검색)),""),ROWS($A$1:I37)),COLUMNS($A$1:I37)),"")</x:f>
        <x:v/>
      </x:c>
    </x:row>
    <x:row r="39" spans="1:10">
      <x:c r="A39" s="173"/>
      <x:c r="B39" s="8" t="str">
        <x:f t="array" ref="B39:B39">IFERROR(INDEX(창고검색범위,SMALL(IF((찾을값=창고검색),MATCH(ROW(창고검색),ROW(창고검색)),""),ROWS($A$1:A38)),COLUMNS($A$1:A38)),"")</x:f>
        <x:v/>
      </x:c>
      <x:c r="C39" s="8" t="str">
        <x:f t="array" ref="C39:C39">IFERROR(INDEX(창고검색범위,SMALL(IF((찾을값=창고검색),MATCH(ROW(창고검색),ROW(창고검색)),""),ROWS($A$1:B38)),COLUMNS($A$1:B38)),"")</x:f>
        <x:v/>
      </x:c>
      <x:c r="D39" s="8" t="str">
        <x:f t="array" ref="D39:D39">IFERROR(INDEX(창고검색범위,SMALL(IF((찾을값=창고검색),MATCH(ROW(창고검색),ROW(창고검색)),""),ROWS($A$1:C38)),COLUMNS($A$1:C38)),"")</x:f>
        <x:v/>
      </x:c>
      <x:c r="E39" s="8" t="str">
        <x:f t="array" ref="E39:E39">IFERROR(INDEX(창고검색범위,SMALL(IF((찾을값=창고검색),MATCH(ROW(창고검색),ROW(창고검색)),""),ROWS($A$1:D38)),COLUMNS($A$1:D38)),"")</x:f>
        <x:v/>
      </x:c>
      <x:c r="F39" s="8" t="str">
        <x:f t="array" ref="F39:F39">IFERROR(INDEX(창고검색범위,SMALL(IF((찾을값=창고검색),MATCH(ROW(창고검색),ROW(창고검색)),""),ROWS($A$1:E38)),COLUMNS($A$1:E38)),"")</x:f>
        <x:v/>
      </x:c>
      <x:c r="G39" s="8" t="str">
        <x:f t="array" ref="G39:G39">IFERROR(INDEX(창고검색범위,SMALL(IF((찾을값=창고검색),MATCH(ROW(창고검색),ROW(창고검색)),""),ROWS($A$1:F38)),COLUMNS($A$1:F38)),"")</x:f>
        <x:v/>
      </x:c>
      <x:c r="H39" s="8" t="str">
        <x:f t="array" ref="H39:H39">IFERROR(INDEX(창고검색범위,SMALL(IF((찾을값=창고검색),MATCH(ROW(창고검색),ROW(창고검색)),""),ROWS($A$1:G38)),COLUMNS($A$1:G38)),"")</x:f>
        <x:v/>
      </x:c>
      <x:c r="I39" s="117" t="str">
        <x:f t="array" ref="I39:I39">IFERROR(INDEX(창고검색범위,SMALL(IF((찾을값=창고검색),MATCH(ROW(창고검색),ROW(창고검색)),""),ROWS($A$1:H38)),COLUMNS($A$1:H38)),"")</x:f>
        <x:v/>
      </x:c>
      <x:c r="J39" s="118" t="str">
        <x:f t="array" ref="J39:J39">IFERROR(INDEX(창고검색범위,SMALL(IF((찾을값=창고검색),MATCH(ROW(창고검색),ROW(창고검색)),""),ROWS($A$1:I38)),COLUMNS($A$1:I38)),"")</x:f>
        <x:v/>
      </x:c>
    </x:row>
    <x:row r="40" spans="1:10">
      <x:c r="A40" s="172"/>
      <x:c r="B40" s="7" t="str">
        <x:f t="array" ref="B40:B40">IFERROR(INDEX(창고검색범위,SMALL(IF((찾을값=창고검색),MATCH(ROW(창고검색),ROW(창고검색)),""),ROWS($A$1:A39)),COLUMNS($A$1:A39)),"")</x:f>
        <x:v/>
      </x:c>
      <x:c r="C40" s="7" t="str">
        <x:f t="array" ref="C40:C40">IFERROR(INDEX(창고검색범위,SMALL(IF((찾을값=창고검색),MATCH(ROW(창고검색),ROW(창고검색)),""),ROWS($A$1:B39)),COLUMNS($A$1:B39)),"")</x:f>
        <x:v/>
      </x:c>
      <x:c r="D40" s="7" t="str">
        <x:f t="array" ref="D40:D40">IFERROR(INDEX(창고검색범위,SMALL(IF((찾을값=창고검색),MATCH(ROW(창고검색),ROW(창고검색)),""),ROWS($A$1:C39)),COLUMNS($A$1:C39)),"")</x:f>
        <x:v/>
      </x:c>
      <x:c r="E40" s="7" t="str">
        <x:f t="array" ref="E40:E40">IFERROR(INDEX(창고검색범위,SMALL(IF((찾을값=창고검색),MATCH(ROW(창고검색),ROW(창고검색)),""),ROWS($A$1:D39)),COLUMNS($A$1:D39)),"")</x:f>
        <x:v/>
      </x:c>
      <x:c r="F40" s="7" t="str">
        <x:f t="array" ref="F40:F40">IFERROR(INDEX(창고검색범위,SMALL(IF((찾을값=창고검색),MATCH(ROW(창고검색),ROW(창고검색)),""),ROWS($A$1:E39)),COLUMNS($A$1:E39)),"")</x:f>
        <x:v/>
      </x:c>
      <x:c r="G40" s="7" t="str">
        <x:f t="array" ref="G40:G40">IFERROR(INDEX(창고검색범위,SMALL(IF((찾을값=창고검색),MATCH(ROW(창고검색),ROW(창고검색)),""),ROWS($A$1:F39)),COLUMNS($A$1:F39)),"")</x:f>
        <x:v/>
      </x:c>
      <x:c r="H40" s="7" t="str">
        <x:f t="array" ref="H40:H40">IFERROR(INDEX(창고검색범위,SMALL(IF((찾을값=창고검색),MATCH(ROW(창고검색),ROW(창고검색)),""),ROWS($A$1:G39)),COLUMNS($A$1:G39)),"")</x:f>
        <x:v/>
      </x:c>
      <x:c r="I40" s="119" t="str">
        <x:f t="array" ref="I40:I40">IFERROR(INDEX(창고검색범위,SMALL(IF((찾을값=창고검색),MATCH(ROW(창고검색),ROW(창고검색)),""),ROWS($A$1:H39)),COLUMNS($A$1:H39)),"")</x:f>
        <x:v/>
      </x:c>
      <x:c r="J40" s="120" t="str">
        <x:f t="array" ref="J40:J40">IFERROR(INDEX(창고검색범위,SMALL(IF((찾을값=창고검색),MATCH(ROW(창고검색),ROW(창고검색)),""),ROWS($A$1:I39)),COLUMNS($A$1:I39)),"")</x:f>
        <x:v/>
      </x:c>
    </x:row>
    <x:row r="41" spans="1:10">
      <x:c r="A41" s="173"/>
      <x:c r="B41" s="8" t="str">
        <x:f t="array" ref="B41:B41">IFERROR(INDEX(창고검색범위,SMALL(IF((찾을값=창고검색),MATCH(ROW(창고검색),ROW(창고검색)),""),ROWS($A$1:A40)),COLUMNS($A$1:A40)),"")</x:f>
        <x:v/>
      </x:c>
      <x:c r="C41" s="8" t="str">
        <x:f t="array" ref="C41:C41">IFERROR(INDEX(창고검색범위,SMALL(IF((찾을값=창고검색),MATCH(ROW(창고검색),ROW(창고검색)),""),ROWS($A$1:B40)),COLUMNS($A$1:B40)),"")</x:f>
        <x:v/>
      </x:c>
      <x:c r="D41" s="8" t="str">
        <x:f t="array" ref="D41:D41">IFERROR(INDEX(창고검색범위,SMALL(IF((찾을값=창고검색),MATCH(ROW(창고검색),ROW(창고검색)),""),ROWS($A$1:C40)),COLUMNS($A$1:C40)),"")</x:f>
        <x:v/>
      </x:c>
      <x:c r="E41" s="8" t="str">
        <x:f t="array" ref="E41:E41">IFERROR(INDEX(창고검색범위,SMALL(IF((찾을값=창고검색),MATCH(ROW(창고검색),ROW(창고검색)),""),ROWS($A$1:D40)),COLUMNS($A$1:D40)),"")</x:f>
        <x:v/>
      </x:c>
      <x:c r="F41" s="8" t="str">
        <x:f t="array" ref="F41:F41">IFERROR(INDEX(창고검색범위,SMALL(IF((찾을값=창고검색),MATCH(ROW(창고검색),ROW(창고검색)),""),ROWS($A$1:E40)),COLUMNS($A$1:E40)),"")</x:f>
        <x:v/>
      </x:c>
      <x:c r="G41" s="8" t="str">
        <x:f t="array" ref="G41:G41">IFERROR(INDEX(창고검색범위,SMALL(IF((찾을값=창고검색),MATCH(ROW(창고검색),ROW(창고검색)),""),ROWS($A$1:F40)),COLUMNS($A$1:F40)),"")</x:f>
        <x:v/>
      </x:c>
      <x:c r="H41" s="8" t="str">
        <x:f t="array" ref="H41:H41">IFERROR(INDEX(창고검색범위,SMALL(IF((찾을값=창고검색),MATCH(ROW(창고검색),ROW(창고검색)),""),ROWS($A$1:G40)),COLUMNS($A$1:G40)),"")</x:f>
        <x:v/>
      </x:c>
      <x:c r="I41" s="117" t="str">
        <x:f t="array" ref="I41:I41">IFERROR(INDEX(창고검색범위,SMALL(IF((찾을값=창고검색),MATCH(ROW(창고검색),ROW(창고검색)),""),ROWS($A$1:H40)),COLUMNS($A$1:H40)),"")</x:f>
        <x:v/>
      </x:c>
      <x:c r="J41" s="118" t="str">
        <x:f t="array" ref="J41:J41">IFERROR(INDEX(창고검색범위,SMALL(IF((찾을값=창고검색),MATCH(ROW(창고검색),ROW(창고검색)),""),ROWS($A$1:I40)),COLUMNS($A$1:I40)),"")</x:f>
        <x:v/>
      </x:c>
    </x:row>
    <x:row r="42" spans="1:10">
      <x:c r="A42" s="172"/>
      <x:c r="B42" s="7"/>
      <x:c r="C42" s="7"/>
      <x:c r="D42" s="7"/>
      <x:c r="E42" s="7"/>
      <x:c r="F42" s="7"/>
      <x:c r="G42" s="7"/>
      <x:c r="H42" s="7"/>
      <x:c r="I42" s="119"/>
      <x:c r="J42" s="120"/>
    </x:row>
    <x:row r="43" spans="1:10">
      <x:c r="A43" s="173"/>
      <x:c r="B43" s="8"/>
      <x:c r="C43" s="8"/>
      <x:c r="D43" s="8"/>
      <x:c r="E43" s="8"/>
      <x:c r="F43" s="8"/>
      <x:c r="G43" s="8"/>
      <x:c r="H43" s="8"/>
      <x:c r="I43" s="117"/>
      <x:c r="J43" s="118"/>
    </x:row>
    <x:row r="44" spans="1:10">
      <x:c r="A44" s="172"/>
      <x:c r="B44" s="7"/>
      <x:c r="C44" s="7"/>
      <x:c r="D44" s="7"/>
      <x:c r="E44" s="7"/>
      <x:c r="F44" s="7"/>
      <x:c r="G44" s="7"/>
      <x:c r="H44" s="7"/>
      <x:c r="I44" s="119"/>
      <x:c r="J44" s="120"/>
    </x:row>
    <x:row r="45" spans="1:10">
      <x:c r="A45" s="173"/>
      <x:c r="B45" s="8"/>
      <x:c r="C45" s="8"/>
      <x:c r="D45" s="8"/>
      <x:c r="E45" s="8"/>
      <x:c r="F45" s="8"/>
      <x:c r="G45" s="8"/>
      <x:c r="H45" s="8"/>
      <x:c r="I45" s="117"/>
      <x:c r="J45" s="118"/>
    </x:row>
    <x:row r="46" spans="1:10">
      <x:c r="A46" s="172"/>
      <x:c r="B46" s="7"/>
      <x:c r="C46" s="7"/>
      <x:c r="D46" s="7"/>
      <x:c r="E46" s="7"/>
      <x:c r="F46" s="7"/>
      <x:c r="G46" s="7"/>
      <x:c r="H46" s="7"/>
      <x:c r="I46" s="7"/>
      <x:c r="J46" s="7"/>
    </x:row>
    <x:row r="47" spans="1:10">
      <x:c r="A47" s="173"/>
      <x:c r="B47" s="8"/>
      <x:c r="C47" s="8"/>
      <x:c r="D47" s="8"/>
      <x:c r="E47" s="8"/>
      <x:c r="F47" s="8"/>
      <x:c r="G47" s="8"/>
      <x:c r="H47" s="8"/>
      <x:c r="I47" s="117"/>
      <x:c r="J47" s="118"/>
    </x:row>
    <x:row r="48" spans="1:10">
      <x:c r="A48" s="172"/>
      <x:c r="C48" s="7"/>
      <x:c r="D48" s="7"/>
      <x:c r="E48" s="7"/>
      <x:c r="F48" s="7"/>
      <x:c r="G48" s="7"/>
      <x:c r="H48" s="7"/>
      <x:c r="I48" s="119"/>
      <x:c r="J48" s="120"/>
    </x:row>
    <x:row r="49" spans="1:10">
      <x:c r="A49" s="173"/>
      <x:c r="B49" s="8"/>
      <x:c r="C49" s="8"/>
      <x:c r="D49" s="8"/>
      <x:c r="E49" s="8"/>
      <x:c r="F49" s="8"/>
      <x:c r="G49" s="8"/>
      <x:c r="H49" s="8"/>
      <x:c r="I49" s="117"/>
      <x:c r="J49" s="118"/>
    </x:row>
    <x:row r="50" spans="1:10">
      <x:c r="A50" s="172"/>
      <x:c r="B50" s="7"/>
      <x:c r="C50" s="7"/>
      <x:c r="D50" s="7"/>
      <x:c r="E50" s="7"/>
      <x:c r="F50" s="7"/>
      <x:c r="G50" s="7"/>
      <x:c r="H50" s="7"/>
      <x:c r="I50" s="119"/>
      <x:c r="J50" s="120"/>
    </x:row>
    <x:row r="51" spans="1:10">
      <x:c r="A51" s="173"/>
      <x:c r="B51" s="8" t="str">
        <x:f t="array" ref="B51:B51">IFERROR(INDEX(창고검색범위,SMALL(IF((찾을값=창고검색),MATCH(ROW(창고검색),ROW(창고검색)),""),ROWS($A$1:A50)),COLUMNS($A$1:A50)),"")</x:f>
        <x:v/>
      </x:c>
      <x:c r="C51" s="8" t="str">
        <x:f t="array" ref="C51:C51">IFERROR(INDEX(창고검색범위,SMALL(IF((찾을값=창고검색),MATCH(ROW(창고검색),ROW(창고검색)),""),ROWS($A$1:B50)),COLUMNS($A$1:B50)),"")</x:f>
        <x:v/>
      </x:c>
      <x:c r="D51" s="8" t="str">
        <x:f t="array" ref="D51:D51">IFERROR(INDEX(창고검색범위,SMALL(IF((찾을값=창고검색),MATCH(ROW(창고검색),ROW(창고검색)),""),ROWS($A$1:C50)),COLUMNS($A$1:C50)),"")</x:f>
        <x:v/>
      </x:c>
      <x:c r="E51" s="8" t="str">
        <x:f t="array" ref="E51:E51">IFERROR(INDEX(창고검색범위,SMALL(IF((찾을값=창고검색),MATCH(ROW(창고검색),ROW(창고검색)),""),ROWS($A$1:D50)),COLUMNS($A$1:D50)),"")</x:f>
        <x:v/>
      </x:c>
      <x:c r="F51" s="8" t="str">
        <x:f t="array" ref="F51:F51">IFERROR(INDEX(창고검색범위,SMALL(IF((찾을값=창고검색),MATCH(ROW(창고검색),ROW(창고검색)),""),ROWS($A$1:E50)),COLUMNS($A$1:E50)),"")</x:f>
        <x:v/>
      </x:c>
      <x:c r="G51" s="8" t="str">
        <x:f t="array" ref="G51:G51">IFERROR(INDEX(창고검색범위,SMALL(IF((찾을값=창고검색),MATCH(ROW(창고검색),ROW(창고검색)),""),ROWS($A$1:F50)),COLUMNS($A$1:F50)),"")</x:f>
        <x:v/>
      </x:c>
      <x:c r="H51" s="8" t="str">
        <x:f t="array" ref="H51:H51">IFERROR(INDEX(창고검색범위,SMALL(IF((찾을값=창고검색),MATCH(ROW(창고검색),ROW(창고검색)),""),ROWS($A$1:G50)),COLUMNS($A$1:G50)),"")</x:f>
        <x:v/>
      </x:c>
      <x:c r="I51" s="117" t="str">
        <x:f t="array" ref="I51:I51">IFERROR(INDEX(창고검색범위,SMALL(IF((찾을값=창고검색),MATCH(ROW(창고검색),ROW(창고검색)),""),ROWS($A$1:H50)),COLUMNS($A$1:H50)),"")</x:f>
        <x:v/>
      </x:c>
      <x:c r="J51" s="118" t="str">
        <x:f t="array" ref="J51:J51">IFERROR(INDEX(창고검색범위,SMALL(IF((찾을값=창고검색),MATCH(ROW(창고검색),ROW(창고검색)),""),ROWS($A$1:I50)),COLUMNS($A$1:I50)),"")</x:f>
        <x:v/>
      </x:c>
    </x:row>
    <x:row r="52" spans="1:10">
      <x:c r="A52" s="172"/>
      <x:c r="B52" s="7" t="str">
        <x:f t="array" ref="B52:B52">IFERROR(INDEX(창고검색범위,SMALL(IF((찾을값=창고검색),MATCH(ROW(창고검색),ROW(창고검색)),""),ROWS($A$1:A51)),COLUMNS($A$1:A51)),"")</x:f>
        <x:v/>
      </x:c>
      <x:c r="C52" s="7" t="str">
        <x:f t="array" ref="C52:C52">IFERROR(INDEX(창고검색범위,SMALL(IF((찾을값=창고검색),MATCH(ROW(창고검색),ROW(창고검색)),""),ROWS($A$1:B51)),COLUMNS($A$1:B51)),"")</x:f>
        <x:v/>
      </x:c>
      <x:c r="D52" s="7" t="str">
        <x:f t="array" ref="D52:D52">IFERROR(INDEX(창고검색범위,SMALL(IF((찾을값=창고검색),MATCH(ROW(창고검색),ROW(창고검색)),""),ROWS($A$1:C51)),COLUMNS($A$1:C51)),"")</x:f>
        <x:v/>
      </x:c>
      <x:c r="E52" s="7" t="str">
        <x:f t="array" ref="E52:E52">IFERROR(INDEX(창고검색범위,SMALL(IF((찾을값=창고검색),MATCH(ROW(창고검색),ROW(창고검색)),""),ROWS($A$1:D51)),COLUMNS($A$1:D51)),"")</x:f>
        <x:v/>
      </x:c>
      <x:c r="F52" s="7" t="str">
        <x:f t="array" ref="F52:F52">IFERROR(INDEX(창고검색범위,SMALL(IF((찾을값=창고검색),MATCH(ROW(창고검색),ROW(창고검색)),""),ROWS($A$1:E51)),COLUMNS($A$1:E51)),"")</x:f>
        <x:v/>
      </x:c>
      <x:c r="G52" s="7" t="str">
        <x:f t="array" ref="G52:G52">IFERROR(INDEX(창고검색범위,SMALL(IF((찾을값=창고검색),MATCH(ROW(창고검색),ROW(창고검색)),""),ROWS($A$1:F51)),COLUMNS($A$1:F51)),"")</x:f>
        <x:v/>
      </x:c>
      <x:c r="H52" s="7" t="str">
        <x:f t="array" ref="H52:H52">IFERROR(INDEX(창고검색범위,SMALL(IF((찾을값=창고검색),MATCH(ROW(창고검색),ROW(창고검색)),""),ROWS($A$1:G51)),COLUMNS($A$1:G51)),"")</x:f>
        <x:v/>
      </x:c>
      <x:c r="I52" s="119" t="str">
        <x:f t="array" ref="I52:I52">IFERROR(INDEX(창고검색범위,SMALL(IF((찾을값=창고검색),MATCH(ROW(창고검색),ROW(창고검색)),""),ROWS($A$1:H51)),COLUMNS($A$1:H51)),"")</x:f>
        <x:v/>
      </x:c>
      <x:c r="J52" s="120" t="str">
        <x:f t="array" ref="J52:J52">IFERROR(INDEX(창고검색범위,SMALL(IF((찾을값=창고검색),MATCH(ROW(창고검색),ROW(창고검색)),""),ROWS($A$1:I51)),COLUMNS($A$1:I51)),"")</x:f>
        <x:v/>
      </x:c>
    </x:row>
    <x:row r="53" spans="1:10">
      <x:c r="A53" s="173"/>
      <x:c r="B53" s="8" t="str">
        <x:f t="array" ref="B53:B53">IFERROR(INDEX(창고검색범위,SMALL(IF((찾을값=창고검색),MATCH(ROW(창고검색),ROW(창고검색)),""),ROWS($A$1:A52)),COLUMNS($A$1:A52)),"")</x:f>
        <x:v/>
      </x:c>
      <x:c r="C53" s="8" t="str">
        <x:f t="array" ref="C53:C53">IFERROR(INDEX(창고검색범위,SMALL(IF((찾을값=창고검색),MATCH(ROW(창고검색),ROW(창고검색)),""),ROWS($A$1:B52)),COLUMNS($A$1:B52)),"")</x:f>
        <x:v/>
      </x:c>
      <x:c r="D53" s="8" t="str">
        <x:f t="array" ref="D53:D53">IFERROR(INDEX(창고검색범위,SMALL(IF((찾을값=창고검색),MATCH(ROW(창고검색),ROW(창고검색)),""),ROWS($A$1:C52)),COLUMNS($A$1:C52)),"")</x:f>
        <x:v/>
      </x:c>
      <x:c r="E53" s="8" t="str">
        <x:f t="array" ref="E53:E53">IFERROR(INDEX(창고검색범위,SMALL(IF((찾을값=창고검색),MATCH(ROW(창고검색),ROW(창고검색)),""),ROWS($A$1:D52)),COLUMNS($A$1:D52)),"")</x:f>
        <x:v/>
      </x:c>
      <x:c r="F53" s="8" t="str">
        <x:f t="array" ref="F53:F53">IFERROR(INDEX(창고검색범위,SMALL(IF((찾을값=창고검색),MATCH(ROW(창고검색),ROW(창고검색)),""),ROWS($A$1:E52)),COLUMNS($A$1:E52)),"")</x:f>
        <x:v/>
      </x:c>
      <x:c r="G53" s="8" t="str">
        <x:f t="array" ref="G53:G53">IFERROR(INDEX(창고검색범위,SMALL(IF((찾을값=창고검색),MATCH(ROW(창고검색),ROW(창고검색)),""),ROWS($A$1:F52)),COLUMNS($A$1:F52)),"")</x:f>
        <x:v/>
      </x:c>
      <x:c r="H53" s="8" t="str">
        <x:f t="array" ref="H53:H53">IFERROR(INDEX(창고검색범위,SMALL(IF((찾을값=창고검색),MATCH(ROW(창고검색),ROW(창고검색)),""),ROWS($A$1:G52)),COLUMNS($A$1:G52)),"")</x:f>
        <x:v/>
      </x:c>
      <x:c r="I53" s="117" t="str">
        <x:f t="array" ref="I53:I53">IFERROR(INDEX(창고검색범위,SMALL(IF((찾을값=창고검색),MATCH(ROW(창고검색),ROW(창고검색)),""),ROWS($A$1:H52)),COLUMNS($A$1:H52)),"")</x:f>
        <x:v/>
      </x:c>
      <x:c r="J53" s="118" t="str">
        <x:f t="array" ref="J53:J53">IFERROR(INDEX(창고검색범위,SMALL(IF((찾을값=창고검색),MATCH(ROW(창고검색),ROW(창고검색)),""),ROWS($A$1:I52)),COLUMNS($A$1:I52)),"")</x:f>
        <x:v/>
      </x:c>
    </x:row>
    <x:row r="54" spans="1:10">
      <x:c r="A54" s="172"/>
      <x:c r="B54" s="7" t="str">
        <x:f t="array" ref="B54:B54">IFERROR(INDEX(창고검색범위,SMALL(IF((찾을값=창고검색),MATCH(ROW(창고검색),ROW(창고검색)),""),ROWS($A$1:A53)),COLUMNS($A$1:A53)),"")</x:f>
        <x:v/>
      </x:c>
      <x:c r="C54" s="7" t="str">
        <x:f t="array" ref="C54:C54">IFERROR(INDEX(창고검색범위,SMALL(IF((찾을값=창고검색),MATCH(ROW(창고검색),ROW(창고검색)),""),ROWS($A$1:B53)),COLUMNS($A$1:B53)),"")</x:f>
        <x:v/>
      </x:c>
      <x:c r="D54" s="7" t="str">
        <x:f t="array" ref="D54:D54">IFERROR(INDEX(창고검색범위,SMALL(IF((찾을값=창고검색),MATCH(ROW(창고검색),ROW(창고검색)),""),ROWS($A$1:C53)),COLUMNS($A$1:C53)),"")</x:f>
        <x:v/>
      </x:c>
      <x:c r="E54" s="7" t="str">
        <x:f t="array" ref="E54:E54">IFERROR(INDEX(창고검색범위,SMALL(IF((찾을값=창고검색),MATCH(ROW(창고검색),ROW(창고검색)),""),ROWS($A$1:D53)),COLUMNS($A$1:D53)),"")</x:f>
        <x:v/>
      </x:c>
      <x:c r="F54" s="7" t="str">
        <x:f t="array" ref="F54:F54">IFERROR(INDEX(창고검색범위,SMALL(IF((찾을값=창고검색),MATCH(ROW(창고검색),ROW(창고검색)),""),ROWS($A$1:E53)),COLUMNS($A$1:E53)),"")</x:f>
        <x:v/>
      </x:c>
      <x:c r="G54" s="7" t="str">
        <x:f t="array" ref="G54:G54">IFERROR(INDEX(창고검색범위,SMALL(IF((찾을값=창고검색),MATCH(ROW(창고검색),ROW(창고검색)),""),ROWS($A$1:F53)),COLUMNS($A$1:F53)),"")</x:f>
        <x:v/>
      </x:c>
      <x:c r="H54" s="7" t="str">
        <x:f t="array" ref="H54:H54">IFERROR(INDEX(창고검색범위,SMALL(IF((찾을값=창고검색),MATCH(ROW(창고검색),ROW(창고검색)),""),ROWS($A$1:G53)),COLUMNS($A$1:G53)),"")</x:f>
        <x:v/>
      </x:c>
      <x:c r="I54" s="119" t="str">
        <x:f t="array" ref="I54:I54">IFERROR(INDEX(창고검색범위,SMALL(IF((찾을값=창고검색),MATCH(ROW(창고검색),ROW(창고검색)),""),ROWS($A$1:H53)),COLUMNS($A$1:H53)),"")</x:f>
        <x:v/>
      </x:c>
      <x:c r="J54" s="120" t="str">
        <x:f t="array" ref="J54:J54">IFERROR(INDEX(창고검색범위,SMALL(IF((찾을값=창고검색),MATCH(ROW(창고검색),ROW(창고검색)),""),ROWS($A$1:I53)),COLUMNS($A$1:I53)),"")</x:f>
        <x:v/>
      </x:c>
    </x:row>
    <x:row r="55" spans="1:10">
      <x:c r="A55" s="173"/>
      <x:c r="B55" s="8" t="str">
        <x:f t="array" ref="B55:B55">IFERROR(INDEX(창고검색범위,SMALL(IF((찾을값=창고검색),MATCH(ROW(창고검색),ROW(창고검색)),""),ROWS($A$1:A54)),COLUMNS($A$1:A54)),"")</x:f>
        <x:v/>
      </x:c>
      <x:c r="C55" s="8" t="str">
        <x:f t="array" ref="C55:C55">IFERROR(INDEX(창고검색범위,SMALL(IF((찾을값=창고검색),MATCH(ROW(창고검색),ROW(창고검색)),""),ROWS($A$1:B54)),COLUMNS($A$1:B54)),"")</x:f>
        <x:v/>
      </x:c>
      <x:c r="D55" s="8" t="str">
        <x:f t="array" ref="D55:D55">IFERROR(INDEX(창고검색범위,SMALL(IF((찾을값=창고검색),MATCH(ROW(창고검색),ROW(창고검색)),""),ROWS($A$1:C54)),COLUMNS($A$1:C54)),"")</x:f>
        <x:v/>
      </x:c>
      <x:c r="E55" s="8" t="str">
        <x:f t="array" ref="E55:E55">IFERROR(INDEX(창고검색범위,SMALL(IF((찾을값=창고검색),MATCH(ROW(창고검색),ROW(창고검색)),""),ROWS($A$1:D54)),COLUMNS($A$1:D54)),"")</x:f>
        <x:v/>
      </x:c>
      <x:c r="F55" s="8" t="str">
        <x:f t="array" ref="F55:F55">IFERROR(INDEX(창고검색범위,SMALL(IF((찾을값=창고검색),MATCH(ROW(창고검색),ROW(창고검색)),""),ROWS($A$1:E54)),COLUMNS($A$1:E54)),"")</x:f>
        <x:v/>
      </x:c>
      <x:c r="G55" s="8" t="str">
        <x:f t="array" ref="G55:G55">IFERROR(INDEX(창고검색범위,SMALL(IF((찾을값=창고검색),MATCH(ROW(창고검색),ROW(창고검색)),""),ROWS($A$1:F54)),COLUMNS($A$1:F54)),"")</x:f>
        <x:v/>
      </x:c>
      <x:c r="H55" s="8" t="str">
        <x:f t="array" ref="H55:H55">IFERROR(INDEX(창고검색범위,SMALL(IF((찾을값=창고검색),MATCH(ROW(창고검색),ROW(창고검색)),""),ROWS($A$1:G54)),COLUMNS($A$1:G54)),"")</x:f>
        <x:v/>
      </x:c>
      <x:c r="I55" s="117" t="str">
        <x:f t="array" ref="I55:I55">IFERROR(INDEX(창고검색범위,SMALL(IF((찾을값=창고검색),MATCH(ROW(창고검색),ROW(창고검색)),""),ROWS($A$1:H54)),COLUMNS($A$1:H54)),"")</x:f>
        <x:v/>
      </x:c>
      <x:c r="J55" s="118" t="str">
        <x:f t="array" ref="J55:J55">IFERROR(INDEX(창고검색범위,SMALL(IF((찾을값=창고검색),MATCH(ROW(창고검색),ROW(창고검색)),""),ROWS($A$1:I54)),COLUMNS($A$1:I54)),"")</x:f>
        <x:v/>
      </x:c>
    </x:row>
    <x:row r="56" spans="1:10">
      <x:c r="A56" s="172"/>
      <x:c r="B56" s="7" t="str">
        <x:f t="array" ref="B56:B56">IFERROR(INDEX(창고검색범위,SMALL(IF((찾을값=창고검색),MATCH(ROW(창고검색),ROW(창고검색)),""),ROWS($A$1:A55)),COLUMNS($A$1:A55)),"")</x:f>
        <x:v/>
      </x:c>
      <x:c r="C56" s="7" t="str">
        <x:f t="array" ref="C56:C56">IFERROR(INDEX(창고검색범위,SMALL(IF((찾을값=창고검색),MATCH(ROW(창고검색),ROW(창고검색)),""),ROWS($A$1:B55)),COLUMNS($A$1:B55)),"")</x:f>
        <x:v/>
      </x:c>
      <x:c r="D56" s="7" t="str">
        <x:f t="array" ref="D56:D56">IFERROR(INDEX(창고검색범위,SMALL(IF((찾을값=창고검색),MATCH(ROW(창고검색),ROW(창고검색)),""),ROWS($A$1:C55)),COLUMNS($A$1:C55)),"")</x:f>
        <x:v/>
      </x:c>
      <x:c r="E56" s="7" t="str">
        <x:f t="array" ref="E56:E56">IFERROR(INDEX(창고검색범위,SMALL(IF((찾을값=창고검색),MATCH(ROW(창고검색),ROW(창고검색)),""),ROWS($A$1:D55)),COLUMNS($A$1:D55)),"")</x:f>
        <x:v/>
      </x:c>
      <x:c r="F56" s="7" t="str">
        <x:f t="array" ref="F56:F56">IFERROR(INDEX(창고검색범위,SMALL(IF((찾을값=창고검색),MATCH(ROW(창고검색),ROW(창고검색)),""),ROWS($A$1:E55)),COLUMNS($A$1:E55)),"")</x:f>
        <x:v/>
      </x:c>
      <x:c r="G56" s="7" t="str">
        <x:f t="array" ref="G56:G56">IFERROR(INDEX(창고검색범위,SMALL(IF((찾을값=창고검색),MATCH(ROW(창고검색),ROW(창고검색)),""),ROWS($A$1:F55)),COLUMNS($A$1:F55)),"")</x:f>
        <x:v/>
      </x:c>
      <x:c r="H56" s="7" t="str">
        <x:f t="array" ref="H56:H56">IFERROR(INDEX(창고검색범위,SMALL(IF((찾을값=창고검색),MATCH(ROW(창고검색),ROW(창고검색)),""),ROWS($A$1:G55)),COLUMNS($A$1:G55)),"")</x:f>
        <x:v/>
      </x:c>
      <x:c r="I56" s="119" t="str">
        <x:f t="array" ref="I56:I56">IFERROR(INDEX(창고검색범위,SMALL(IF((찾을값=창고검색),MATCH(ROW(창고검색),ROW(창고검색)),""),ROWS($A$1:H55)),COLUMNS($A$1:H55)),"")</x:f>
        <x:v/>
      </x:c>
      <x:c r="J56" s="120" t="str">
        <x:f t="array" ref="J56:J56">IFERROR(INDEX(창고검색범위,SMALL(IF((찾을값=창고검색),MATCH(ROW(창고검색),ROW(창고검색)),""),ROWS($A$1:I55)),COLUMNS($A$1:I55)),"")</x:f>
        <x:v/>
      </x:c>
    </x:row>
    <x:row r="57" spans="1:10">
      <x:c r="A57" s="173"/>
      <x:c r="B57" s="8" t="str">
        <x:f t="array" ref="B57:B57">IFERROR(INDEX(창고검색범위,SMALL(IF((찾을값=창고검색),MATCH(ROW(창고검색),ROW(창고검색)),""),ROWS($A$1:A56)),COLUMNS($A$1:A56)),"")</x:f>
        <x:v/>
      </x:c>
      <x:c r="C57" s="8" t="str">
        <x:f t="array" ref="C57:C57">IFERROR(INDEX(창고검색범위,SMALL(IF((찾을값=창고검색),MATCH(ROW(창고검색),ROW(창고검색)),""),ROWS($A$1:B56)),COLUMNS($A$1:B56)),"")</x:f>
        <x:v/>
      </x:c>
      <x:c r="D57" s="8" t="str">
        <x:f t="array" ref="D57:D57">IFERROR(INDEX(창고검색범위,SMALL(IF((찾을값=창고검색),MATCH(ROW(창고검색),ROW(창고검색)),""),ROWS($A$1:C56)),COLUMNS($A$1:C56)),"")</x:f>
        <x:v/>
      </x:c>
      <x:c r="E57" s="8" t="str">
        <x:f t="array" ref="E57:E57">IFERROR(INDEX(창고검색범위,SMALL(IF((찾을값=창고검색),MATCH(ROW(창고검색),ROW(창고검색)),""),ROWS($A$1:D56)),COLUMNS($A$1:D56)),"")</x:f>
        <x:v/>
      </x:c>
      <x:c r="F57" s="8" t="str">
        <x:f t="array" ref="F57:F57">IFERROR(INDEX(창고검색범위,SMALL(IF((찾을값=창고검색),MATCH(ROW(창고검색),ROW(창고검색)),""),ROWS($A$1:E56)),COLUMNS($A$1:E56)),"")</x:f>
        <x:v/>
      </x:c>
      <x:c r="G57" s="8" t="str">
        <x:f t="array" ref="G57:G57">IFERROR(INDEX(창고검색범위,SMALL(IF((찾을값=창고검색),MATCH(ROW(창고검색),ROW(창고검색)),""),ROWS($A$1:F56)),COLUMNS($A$1:F56)),"")</x:f>
        <x:v/>
      </x:c>
      <x:c r="H57" s="8" t="str">
        <x:f t="array" ref="H57:H57">IFERROR(INDEX(창고검색범위,SMALL(IF((찾을값=창고검색),MATCH(ROW(창고검색),ROW(창고검색)),""),ROWS($A$1:G56)),COLUMNS($A$1:G56)),"")</x:f>
        <x:v/>
      </x:c>
      <x:c r="I57" s="117" t="str">
        <x:f t="array" ref="I57:I57">IFERROR(INDEX(창고검색범위,SMALL(IF((찾을값=창고검색),MATCH(ROW(창고검색),ROW(창고검색)),""),ROWS($A$1:H56)),COLUMNS($A$1:H56)),"")</x:f>
        <x:v/>
      </x:c>
      <x:c r="J57" s="118" t="str">
        <x:f t="array" ref="J57:J57">IFERROR(INDEX(창고검색범위,SMALL(IF((찾을값=창고검색),MATCH(ROW(창고검색),ROW(창고검색)),""),ROWS($A$1:I56)),COLUMNS($A$1:I56)),"")</x:f>
        <x:v/>
      </x:c>
    </x:row>
    <x:row r="58" spans="1:10">
      <x:c r="A58" s="172"/>
      <x:c r="B58" s="7" t="str">
        <x:f t="array" ref="B58:B58">IFERROR(INDEX(창고검색범위,SMALL(IF((찾을값=창고검색),MATCH(ROW(창고검색),ROW(창고검색)),""),ROWS($A$1:A57)),COLUMNS($A$1:A57)),"")</x:f>
        <x:v/>
      </x:c>
      <x:c r="C58" s="7" t="str">
        <x:f t="array" ref="C58:C58">IFERROR(INDEX(창고검색범위,SMALL(IF((찾을값=창고검색),MATCH(ROW(창고검색),ROW(창고검색)),""),ROWS($A$1:B57)),COLUMNS($A$1:B57)),"")</x:f>
        <x:v/>
      </x:c>
      <x:c r="D58" s="7" t="str">
        <x:f t="array" ref="D58:D58">IFERROR(INDEX(창고검색범위,SMALL(IF((찾을값=창고검색),MATCH(ROW(창고검색),ROW(창고검색)),""),ROWS($A$1:C57)),COLUMNS($A$1:C57)),"")</x:f>
        <x:v/>
      </x:c>
      <x:c r="E58" s="7" t="str">
        <x:f t="array" ref="E58:E58">IFERROR(INDEX(창고검색범위,SMALL(IF((찾을값=창고검색),MATCH(ROW(창고검색),ROW(창고검색)),""),ROWS($A$1:D57)),COLUMNS($A$1:D57)),"")</x:f>
        <x:v/>
      </x:c>
      <x:c r="F58" s="7" t="str">
        <x:f t="array" ref="F58:F58">IFERROR(INDEX(창고검색범위,SMALL(IF((찾을값=창고검색),MATCH(ROW(창고검색),ROW(창고검색)),""),ROWS($A$1:E57)),COLUMNS($A$1:E57)),"")</x:f>
        <x:v/>
      </x:c>
      <x:c r="G58" s="7" t="str">
        <x:f t="array" ref="G58:G58">IFERROR(INDEX(창고검색범위,SMALL(IF((찾을값=창고검색),MATCH(ROW(창고검색),ROW(창고검색)),""),ROWS($A$1:F57)),COLUMNS($A$1:F57)),"")</x:f>
        <x:v/>
      </x:c>
      <x:c r="H58" s="7" t="str">
        <x:f t="array" ref="H58:H58">IFERROR(INDEX(창고검색범위,SMALL(IF((찾을값=창고검색),MATCH(ROW(창고검색),ROW(창고검색)),""),ROWS($A$1:G57)),COLUMNS($A$1:G57)),"")</x:f>
        <x:v/>
      </x:c>
      <x:c r="I58" s="119" t="str">
        <x:f t="array" ref="I58:I58">IFERROR(INDEX(창고검색범위,SMALL(IF((찾을값=창고검색),MATCH(ROW(창고검색),ROW(창고검색)),""),ROWS($A$1:H57)),COLUMNS($A$1:H57)),"")</x:f>
        <x:v/>
      </x:c>
      <x:c r="J58" s="120" t="str">
        <x:f t="array" ref="J58:J58">IFERROR(INDEX(창고검색범위,SMALL(IF((찾을값=창고검색),MATCH(ROW(창고검색),ROW(창고검색)),""),ROWS($A$1:I57)),COLUMNS($A$1:I57)),"")</x:f>
        <x:v/>
      </x:c>
    </x:row>
    <x:row r="59" spans="1:10">
      <x:c r="A59" s="173"/>
      <x:c r="B59" s="8" t="str">
        <x:f t="array" ref="B59:B59">IFERROR(INDEX(창고검색범위,SMALL(IF((찾을값=창고검색),MATCH(ROW(창고검색),ROW(창고검색)),""),ROWS($A$1:A58)),COLUMNS($A$1:A58)),"")</x:f>
        <x:v/>
      </x:c>
      <x:c r="C59" s="8" t="str">
        <x:f t="array" ref="C59:C59">IFERROR(INDEX(창고검색범위,SMALL(IF((찾을값=창고검색),MATCH(ROW(창고검색),ROW(창고검색)),""),ROWS($A$1:B58)),COLUMNS($A$1:B58)),"")</x:f>
        <x:v/>
      </x:c>
      <x:c r="D59" s="8" t="str">
        <x:f t="array" ref="D59:D59">IFERROR(INDEX(창고검색범위,SMALL(IF((찾을값=창고검색),MATCH(ROW(창고검색),ROW(창고검색)),""),ROWS($A$1:C58)),COLUMNS($A$1:C58)),"")</x:f>
        <x:v/>
      </x:c>
      <x:c r="E59" s="8" t="str">
        <x:f t="array" ref="E59:E59">IFERROR(INDEX(창고검색범위,SMALL(IF((찾을값=창고검색),MATCH(ROW(창고검색),ROW(창고검색)),""),ROWS($A$1:D58)),COLUMNS($A$1:D58)),"")</x:f>
        <x:v/>
      </x:c>
      <x:c r="F59" s="8" t="str">
        <x:f t="array" ref="F59:F59">IFERROR(INDEX(창고검색범위,SMALL(IF((찾을값=창고검색),MATCH(ROW(창고검색),ROW(창고검색)),""),ROWS($A$1:E58)),COLUMNS($A$1:E58)),"")</x:f>
        <x:v/>
      </x:c>
      <x:c r="G59" s="8" t="str">
        <x:f t="array" ref="G59:G59">IFERROR(INDEX(창고검색범위,SMALL(IF((찾을값=창고검색),MATCH(ROW(창고검색),ROW(창고검색)),""),ROWS($A$1:F58)),COLUMNS($A$1:F58)),"")</x:f>
        <x:v/>
      </x:c>
      <x:c r="H59" s="8" t="str">
        <x:f t="array" ref="H59:H59">IFERROR(INDEX(창고검색범위,SMALL(IF((찾을값=창고검색),MATCH(ROW(창고검색),ROW(창고검색)),""),ROWS($A$1:G58)),COLUMNS($A$1:G58)),"")</x:f>
        <x:v/>
      </x:c>
      <x:c r="I59" s="117" t="str">
        <x:f t="array" ref="I59:I59">IFERROR(INDEX(창고검색범위,SMALL(IF((찾을값=창고검색),MATCH(ROW(창고검색),ROW(창고검색)),""),ROWS($A$1:H58)),COLUMNS($A$1:H58)),"")</x:f>
        <x:v/>
      </x:c>
      <x:c r="J59" s="118" t="str">
        <x:f t="array" ref="J59:J59">IFERROR(INDEX(창고검색범위,SMALL(IF((찾을값=창고검색),MATCH(ROW(창고검색),ROW(창고검색)),""),ROWS($A$1:I58)),COLUMNS($A$1:I58)),"")</x:f>
        <x:v/>
      </x:c>
    </x:row>
    <x:row r="60" spans="1:10">
      <x:c r="A60" s="172"/>
      <x:c r="B60" s="7" t="str">
        <x:f t="array" ref="B60:B60">IFERROR(INDEX(창고검색범위,SMALL(IF((찾을값=창고검색),MATCH(ROW(창고검색),ROW(창고검색)),""),ROWS($A$1:A59)),COLUMNS($A$1:A59)),"")</x:f>
        <x:v/>
      </x:c>
      <x:c r="C60" s="7" t="str">
        <x:f t="array" ref="C60:C60">IFERROR(INDEX(창고검색범위,SMALL(IF((찾을값=창고검색),MATCH(ROW(창고검색),ROW(창고검색)),""),ROWS($A$1:B59)),COLUMNS($A$1:B59)),"")</x:f>
        <x:v/>
      </x:c>
      <x:c r="D60" s="7" t="str">
        <x:f t="array" ref="D60:D60">IFERROR(INDEX(창고검색범위,SMALL(IF((찾을값=창고검색),MATCH(ROW(창고검색),ROW(창고검색)),""),ROWS($A$1:C59)),COLUMNS($A$1:C59)),"")</x:f>
        <x:v/>
      </x:c>
      <x:c r="E60" s="7" t="str">
        <x:f t="array" ref="E60:E60">IFERROR(INDEX(창고검색범위,SMALL(IF((찾을값=창고검색),MATCH(ROW(창고검색),ROW(창고검색)),""),ROWS($A$1:D59)),COLUMNS($A$1:D59)),"")</x:f>
        <x:v/>
      </x:c>
      <x:c r="F60" s="7" t="str">
        <x:f t="array" ref="F60:F60">IFERROR(INDEX(창고검색범위,SMALL(IF((찾을값=창고검색),MATCH(ROW(창고검색),ROW(창고검색)),""),ROWS($A$1:E59)),COLUMNS($A$1:E59)),"")</x:f>
        <x:v/>
      </x:c>
      <x:c r="G60" s="7" t="str">
        <x:f t="array" ref="G60:G60">IFERROR(INDEX(창고검색범위,SMALL(IF((찾을값=창고검색),MATCH(ROW(창고검색),ROW(창고검색)),""),ROWS($A$1:F59)),COLUMNS($A$1:F59)),"")</x:f>
        <x:v/>
      </x:c>
      <x:c r="H60" s="7" t="str">
        <x:f t="array" ref="H60:H60">IFERROR(INDEX(창고검색범위,SMALL(IF((찾을값=창고검색),MATCH(ROW(창고검색),ROW(창고검색)),""),ROWS($A$1:G59)),COLUMNS($A$1:G59)),"")</x:f>
        <x:v/>
      </x:c>
      <x:c r="I60" s="119" t="str">
        <x:f t="array" ref="I60:I60">IFERROR(INDEX(창고검색범위,SMALL(IF((찾을값=창고검색),MATCH(ROW(창고검색),ROW(창고검색)),""),ROWS($A$1:H59)),COLUMNS($A$1:H59)),"")</x:f>
        <x:v/>
      </x:c>
      <x:c r="J60" s="120" t="str">
        <x:f t="array" ref="J60:J60">IFERROR(INDEX(창고검색범위,SMALL(IF((찾을값=창고검색),MATCH(ROW(창고검색),ROW(창고검색)),""),ROWS($A$1:I59)),COLUMNS($A$1:I59)),"")</x:f>
        <x:v/>
      </x:c>
    </x:row>
    <x:row r="61" spans="1:10">
      <x:c r="A61" s="173"/>
      <x:c r="B61" s="8" t="str">
        <x:f t="array" ref="B61:B61">IFERROR(INDEX(창고검색범위,SMALL(IF((찾을값=창고검색),MATCH(ROW(창고검색),ROW(창고검색)),""),ROWS($A$1:A60)),COLUMNS($A$1:A60)),"")</x:f>
        <x:v/>
      </x:c>
      <x:c r="C61" s="8" t="str">
        <x:f t="array" ref="C61:C61">IFERROR(INDEX(창고검색범위,SMALL(IF((찾을값=창고검색),MATCH(ROW(창고검색),ROW(창고검색)),""),ROWS($A$1:B60)),COLUMNS($A$1:B60)),"")</x:f>
        <x:v/>
      </x:c>
      <x:c r="D61" s="8" t="str">
        <x:f t="array" ref="D61:D61">IFERROR(INDEX(창고검색범위,SMALL(IF((찾을값=창고검색),MATCH(ROW(창고검색),ROW(창고검색)),""),ROWS($A$1:C60)),COLUMNS($A$1:C60)),"")</x:f>
        <x:v/>
      </x:c>
      <x:c r="E61" s="8" t="str">
        <x:f t="array" ref="E61:E61">IFERROR(INDEX(창고검색범위,SMALL(IF((찾을값=창고검색),MATCH(ROW(창고검색),ROW(창고검색)),""),ROWS($A$1:D60)),COLUMNS($A$1:D60)),"")</x:f>
        <x:v/>
      </x:c>
      <x:c r="F61" s="8" t="str">
        <x:f t="array" ref="F61:F61">IFERROR(INDEX(창고검색범위,SMALL(IF((찾을값=창고검색),MATCH(ROW(창고검색),ROW(창고검색)),""),ROWS($A$1:E60)),COLUMNS($A$1:E60)),"")</x:f>
        <x:v/>
      </x:c>
      <x:c r="G61" s="8" t="str">
        <x:f t="array" ref="G61:G61">IFERROR(INDEX(창고검색범위,SMALL(IF((찾을값=창고검색),MATCH(ROW(창고검색),ROW(창고검색)),""),ROWS($A$1:F60)),COLUMNS($A$1:F60)),"")</x:f>
        <x:v/>
      </x:c>
      <x:c r="H61" s="8" t="str">
        <x:f t="array" ref="H61:H61">IFERROR(INDEX(창고검색범위,SMALL(IF((찾을값=창고검색),MATCH(ROW(창고검색),ROW(창고검색)),""),ROWS($A$1:G60)),COLUMNS($A$1:G60)),"")</x:f>
        <x:v/>
      </x:c>
      <x:c r="I61" s="117" t="str">
        <x:f t="array" ref="I61:I61">IFERROR(INDEX(창고검색범위,SMALL(IF((찾을값=창고검색),MATCH(ROW(창고검색),ROW(창고검색)),""),ROWS($A$1:H60)),COLUMNS($A$1:H60)),"")</x:f>
        <x:v/>
      </x:c>
      <x:c r="J61" s="118" t="str">
        <x:f t="array" ref="J61:J61">IFERROR(INDEX(창고검색범위,SMALL(IF((찾을값=창고검색),MATCH(ROW(창고검색),ROW(창고검색)),""),ROWS($A$1:I60)),COLUMNS($A$1:I60)),"")</x:f>
        <x:v/>
      </x:c>
    </x:row>
    <x:row r="62" spans="1:10">
      <x:c r="A62" s="172"/>
      <x:c r="B62" s="7" t="str">
        <x:f t="array" ref="B62:B62">IFERROR(INDEX(창고검색범위,SMALL(IF((찾을값=창고검색),MATCH(ROW(창고검색),ROW(창고검색)),""),ROWS($A$1:A61)),COLUMNS($A$1:A61)),"")</x:f>
        <x:v/>
      </x:c>
      <x:c r="C62" s="7" t="str">
        <x:f t="array" ref="C62:C62">IFERROR(INDEX(창고검색범위,SMALL(IF((찾을값=창고검색),MATCH(ROW(창고검색),ROW(창고검색)),""),ROWS($A$1:B61)),COLUMNS($A$1:B61)),"")</x:f>
        <x:v/>
      </x:c>
      <x:c r="D62" s="7" t="str">
        <x:f t="array" ref="D62:D62">IFERROR(INDEX(창고검색범위,SMALL(IF((찾을값=창고검색),MATCH(ROW(창고검색),ROW(창고검색)),""),ROWS($A$1:C61)),COLUMNS($A$1:C61)),"")</x:f>
        <x:v/>
      </x:c>
      <x:c r="E62" s="7" t="str">
        <x:f t="array" ref="E62:E62">IFERROR(INDEX(창고검색범위,SMALL(IF((찾을값=창고검색),MATCH(ROW(창고검색),ROW(창고검색)),""),ROWS($A$1:D61)),COLUMNS($A$1:D61)),"")</x:f>
        <x:v/>
      </x:c>
      <x:c r="F62" s="7" t="str">
        <x:f t="array" ref="F62:F62">IFERROR(INDEX(창고검색범위,SMALL(IF((찾을값=창고검색),MATCH(ROW(창고검색),ROW(창고검색)),""),ROWS($A$1:E61)),COLUMNS($A$1:E61)),"")</x:f>
        <x:v/>
      </x:c>
      <x:c r="G62" s="7" t="str">
        <x:f t="array" ref="G62:G62">IFERROR(INDEX(창고검색범위,SMALL(IF((찾을값=창고검색),MATCH(ROW(창고검색),ROW(창고검색)),""),ROWS($A$1:F61)),COLUMNS($A$1:F61)),"")</x:f>
        <x:v/>
      </x:c>
      <x:c r="H62" s="7" t="str">
        <x:f t="array" ref="H62:H62">IFERROR(INDEX(창고검색범위,SMALL(IF((찾을값=창고검색),MATCH(ROW(창고검색),ROW(창고검색)),""),ROWS($A$1:G61)),COLUMNS($A$1:G61)),"")</x:f>
        <x:v/>
      </x:c>
      <x:c r="I62" s="119" t="str">
        <x:f t="array" ref="I62:I62">IFERROR(INDEX(창고검색범위,SMALL(IF((찾을값=창고검색),MATCH(ROW(창고검색),ROW(창고검색)),""),ROWS($A$1:H61)),COLUMNS($A$1:H61)),"")</x:f>
        <x:v/>
      </x:c>
      <x:c r="J62" s="120" t="str">
        <x:f t="array" ref="J62:J62">IFERROR(INDEX(창고검색범위,SMALL(IF((찾을값=창고검색),MATCH(ROW(창고검색),ROW(창고검색)),""),ROWS($A$1:I61)),COLUMNS($A$1:I61)),"")</x:f>
        <x:v/>
      </x:c>
    </x:row>
    <x:row r="63" spans="1:10">
      <x:c r="A63" s="173"/>
      <x:c r="B63" s="8" t="str">
        <x:f t="array" ref="B63:B63">IFERROR(INDEX(창고검색범위,SMALL(IF((찾을값=창고검색),MATCH(ROW(창고검색),ROW(창고검색)),""),ROWS($A$1:A62)),COLUMNS($A$1:A62)),"")</x:f>
        <x:v/>
      </x:c>
      <x:c r="C63" s="8" t="str">
        <x:f t="array" ref="C63:C63">IFERROR(INDEX(창고검색범위,SMALL(IF((찾을값=창고검색),MATCH(ROW(창고검색),ROW(창고검색)),""),ROWS($A$1:B62)),COLUMNS($A$1:B62)),"")</x:f>
        <x:v/>
      </x:c>
      <x:c r="D63" s="8" t="str">
        <x:f t="array" ref="D63:D63">IFERROR(INDEX(창고검색범위,SMALL(IF((찾을값=창고검색),MATCH(ROW(창고검색),ROW(창고검색)),""),ROWS($A$1:C62)),COLUMNS($A$1:C62)),"")</x:f>
        <x:v/>
      </x:c>
      <x:c r="E63" s="8" t="str">
        <x:f t="array" ref="E63:E63">IFERROR(INDEX(창고검색범위,SMALL(IF((찾을값=창고검색),MATCH(ROW(창고검색),ROW(창고검색)),""),ROWS($A$1:D62)),COLUMNS($A$1:D62)),"")</x:f>
        <x:v/>
      </x:c>
      <x:c r="F63" s="8" t="str">
        <x:f t="array" ref="F63:F63">IFERROR(INDEX(창고검색범위,SMALL(IF((찾을값=창고검색),MATCH(ROW(창고검색),ROW(창고검색)),""),ROWS($A$1:E62)),COLUMNS($A$1:E62)),"")</x:f>
        <x:v/>
      </x:c>
      <x:c r="G63" s="8" t="str">
        <x:f t="array" ref="G63:G63">IFERROR(INDEX(창고검색범위,SMALL(IF((찾을값=창고검색),MATCH(ROW(창고검색),ROW(창고검색)),""),ROWS($A$1:F62)),COLUMNS($A$1:F62)),"")</x:f>
        <x:v/>
      </x:c>
      <x:c r="H63" s="8" t="str">
        <x:f t="array" ref="H63:H63">IFERROR(INDEX(창고검색범위,SMALL(IF((찾을값=창고검색),MATCH(ROW(창고검색),ROW(창고검색)),""),ROWS($A$1:G62)),COLUMNS($A$1:G62)),"")</x:f>
        <x:v/>
      </x:c>
      <x:c r="I63" s="117" t="str">
        <x:f t="array" ref="I63:I63">IFERROR(INDEX(창고검색범위,SMALL(IF((찾을값=창고검색),MATCH(ROW(창고검색),ROW(창고검색)),""),ROWS($A$1:H62)),COLUMNS($A$1:H62)),"")</x:f>
        <x:v/>
      </x:c>
      <x:c r="J63" s="118" t="str">
        <x:f t="array" ref="J63:J63">IFERROR(INDEX(창고검색범위,SMALL(IF((찾을값=창고검색),MATCH(ROW(창고검색),ROW(창고검색)),""),ROWS($A$1:I62)),COLUMNS($A$1:I62)),"")</x:f>
        <x:v/>
      </x:c>
    </x:row>
    <x:row r="64" spans="1:10">
      <x:c r="A64" s="172"/>
      <x:c r="B64" s="7" t="str">
        <x:f t="array" ref="B64:B64">IFERROR(INDEX(창고검색범위,SMALL(IF((찾을값=창고검색),MATCH(ROW(창고검색),ROW(창고검색)),""),ROWS($A$1:A63)),COLUMNS($A$1:A63)),"")</x:f>
        <x:v/>
      </x:c>
      <x:c r="C64" s="7" t="str">
        <x:f t="array" ref="C64:C64">IFERROR(INDEX(창고검색범위,SMALL(IF((찾을값=창고검색),MATCH(ROW(창고검색),ROW(창고검색)),""),ROWS($A$1:B63)),COLUMNS($A$1:B63)),"")</x:f>
        <x:v/>
      </x:c>
      <x:c r="D64" s="7" t="str">
        <x:f t="array" ref="D64:D64">IFERROR(INDEX(창고검색범위,SMALL(IF((찾을값=창고검색),MATCH(ROW(창고검색),ROW(창고검색)),""),ROWS($A$1:C63)),COLUMNS($A$1:C63)),"")</x:f>
        <x:v/>
      </x:c>
      <x:c r="E64" s="7" t="str">
        <x:f t="array" ref="E64:E64">IFERROR(INDEX(창고검색범위,SMALL(IF((찾을값=창고검색),MATCH(ROW(창고검색),ROW(창고검색)),""),ROWS($A$1:D63)),COLUMNS($A$1:D63)),"")</x:f>
        <x:v/>
      </x:c>
      <x:c r="F64" s="7" t="str">
        <x:f t="array" ref="F64:F64">IFERROR(INDEX(창고검색범위,SMALL(IF((찾을값=창고검색),MATCH(ROW(창고검색),ROW(창고검색)),""),ROWS($A$1:E63)),COLUMNS($A$1:E63)),"")</x:f>
        <x:v/>
      </x:c>
      <x:c r="G64" s="7" t="str">
        <x:f t="array" ref="G64:G64">IFERROR(INDEX(창고검색범위,SMALL(IF((찾을값=창고검색),MATCH(ROW(창고검색),ROW(창고검색)),""),ROWS($A$1:F63)),COLUMNS($A$1:F63)),"")</x:f>
        <x:v/>
      </x:c>
      <x:c r="H64" s="7" t="str">
        <x:f t="array" ref="H64:H64">IFERROR(INDEX(창고검색범위,SMALL(IF((찾을값=창고검색),MATCH(ROW(창고검색),ROW(창고검색)),""),ROWS($A$1:G63)),COLUMNS($A$1:G63)),"")</x:f>
        <x:v/>
      </x:c>
      <x:c r="I64" s="119" t="str">
        <x:f t="array" ref="I64:I64">IFERROR(INDEX(창고검색범위,SMALL(IF((찾을값=창고검색),MATCH(ROW(창고검색),ROW(창고검색)),""),ROWS($A$1:H63)),COLUMNS($A$1:H63)),"")</x:f>
        <x:v/>
      </x:c>
      <x:c r="J64" s="120" t="str">
        <x:f t="array" ref="J64:J64">IFERROR(INDEX(창고검색범위,SMALL(IF((찾을값=창고검색),MATCH(ROW(창고검색),ROW(창고검색)),""),ROWS($A$1:I63)),COLUMNS($A$1:I63)),"")</x:f>
        <x:v/>
      </x:c>
    </x:row>
    <x:row r="65" spans="1:10">
      <x:c r="A65" s="173"/>
      <x:c r="B65" s="8" t="str">
        <x:f t="array" ref="B65:B65">IFERROR(INDEX(창고검색범위,SMALL(IF((찾을값=창고검색),MATCH(ROW(창고검색),ROW(창고검색)),""),ROWS($A$1:A64)),COLUMNS($A$1:A64)),"")</x:f>
        <x:v/>
      </x:c>
      <x:c r="C65" s="8" t="str">
        <x:f t="array" ref="C65:C65">IFERROR(INDEX(창고검색범위,SMALL(IF((찾을값=창고검색),MATCH(ROW(창고검색),ROW(창고검색)),""),ROWS($A$1:B64)),COLUMNS($A$1:B64)),"")</x:f>
        <x:v/>
      </x:c>
      <x:c r="D65" s="8" t="str">
        <x:f t="array" ref="D65:D65">IFERROR(INDEX(창고검색범위,SMALL(IF((찾을값=창고검색),MATCH(ROW(창고검색),ROW(창고검색)),""),ROWS($A$1:C64)),COLUMNS($A$1:C64)),"")</x:f>
        <x:v/>
      </x:c>
      <x:c r="E65" s="8" t="str">
        <x:f t="array" ref="E65:E65">IFERROR(INDEX(창고검색범위,SMALL(IF((찾을값=창고검색),MATCH(ROW(창고검색),ROW(창고검색)),""),ROWS($A$1:D64)),COLUMNS($A$1:D64)),"")</x:f>
        <x:v/>
      </x:c>
      <x:c r="F65" s="8" t="str">
        <x:f t="array" ref="F65:F65">IFERROR(INDEX(창고검색범위,SMALL(IF((찾을값=창고검색),MATCH(ROW(창고검색),ROW(창고검색)),""),ROWS($A$1:E64)),COLUMNS($A$1:E64)),"")</x:f>
        <x:v/>
      </x:c>
      <x:c r="G65" s="8" t="str">
        <x:f t="array" ref="G65:G65">IFERROR(INDEX(창고검색범위,SMALL(IF((찾을값=창고검색),MATCH(ROW(창고검색),ROW(창고검색)),""),ROWS($A$1:F64)),COLUMNS($A$1:F64)),"")</x:f>
        <x:v/>
      </x:c>
      <x:c r="H65" s="8" t="str">
        <x:f t="array" ref="H65:H65">IFERROR(INDEX(창고검색범위,SMALL(IF((찾을값=창고검색),MATCH(ROW(창고검색),ROW(창고검색)),""),ROWS($A$1:G64)),COLUMNS($A$1:G64)),"")</x:f>
        <x:v/>
      </x:c>
      <x:c r="I65" s="117" t="str">
        <x:f t="array" ref="I65:I65">IFERROR(INDEX(창고검색범위,SMALL(IF((찾을값=창고검색),MATCH(ROW(창고검색),ROW(창고검색)),""),ROWS($A$1:H64)),COLUMNS($A$1:H64)),"")</x:f>
        <x:v/>
      </x:c>
      <x:c r="J65" s="118" t="str">
        <x:f t="array" ref="J65:J65">IFERROR(INDEX(창고검색범위,SMALL(IF((찾을값=창고검색),MATCH(ROW(창고검색),ROW(창고검색)),""),ROWS($A$1:I64)),COLUMNS($A$1:I64)),"")</x:f>
        <x:v/>
      </x:c>
    </x:row>
    <x:row r="66" spans="1:10">
      <x:c r="A66" s="172"/>
      <x:c r="B66" s="7" t="str">
        <x:f t="array" ref="B66:B66">IFERROR(INDEX(창고검색범위,SMALL(IF((찾을값=창고검색),MATCH(ROW(창고검색),ROW(창고검색)),""),ROWS($A$1:A65)),COLUMNS($A$1:A65)),"")</x:f>
        <x:v/>
      </x:c>
      <x:c r="C66" s="7" t="str">
        <x:f t="array" ref="C66:C66">IFERROR(INDEX(창고검색범위,SMALL(IF((찾을값=창고검색),MATCH(ROW(창고검색),ROW(창고검색)),""),ROWS($A$1:B65)),COLUMNS($A$1:B65)),"")</x:f>
        <x:v/>
      </x:c>
      <x:c r="D66" s="7" t="str">
        <x:f t="array" ref="D66:D66">IFERROR(INDEX(창고검색범위,SMALL(IF((찾을값=창고검색),MATCH(ROW(창고검색),ROW(창고검색)),""),ROWS($A$1:C65)),COLUMNS($A$1:C65)),"")</x:f>
        <x:v/>
      </x:c>
      <x:c r="E66" s="7" t="str">
        <x:f t="array" ref="E66:E66">IFERROR(INDEX(창고검색범위,SMALL(IF((찾을값=창고검색),MATCH(ROW(창고검색),ROW(창고검색)),""),ROWS($A$1:D65)),COLUMNS($A$1:D65)),"")</x:f>
        <x:v/>
      </x:c>
      <x:c r="F66" s="7" t="str">
        <x:f t="array" ref="F66:F66">IFERROR(INDEX(창고검색범위,SMALL(IF((찾을값=창고검색),MATCH(ROW(창고검색),ROW(창고검색)),""),ROWS($A$1:E65)),COLUMNS($A$1:E65)),"")</x:f>
        <x:v/>
      </x:c>
      <x:c r="G66" s="7" t="str">
        <x:f t="array" ref="G66:G66">IFERROR(INDEX(창고검색범위,SMALL(IF((찾을값=창고검색),MATCH(ROW(창고검색),ROW(창고검색)),""),ROWS($A$1:F65)),COLUMNS($A$1:F65)),"")</x:f>
        <x:v/>
      </x:c>
      <x:c r="H66" s="7" t="str">
        <x:f t="array" ref="H66:H66">IFERROR(INDEX(창고검색범위,SMALL(IF((찾을값=창고검색),MATCH(ROW(창고검색),ROW(창고검색)),""),ROWS($A$1:G65)),COLUMNS($A$1:G65)),"")</x:f>
        <x:v/>
      </x:c>
      <x:c r="I66" s="119" t="str">
        <x:f t="array" ref="I66:I66">IFERROR(INDEX(창고검색범위,SMALL(IF((찾을값=창고검색),MATCH(ROW(창고검색),ROW(창고검색)),""),ROWS($A$1:H65)),COLUMNS($A$1:H65)),"")</x:f>
        <x:v/>
      </x:c>
      <x:c r="J66" s="120" t="str">
        <x:f t="array" ref="J66:J66">IFERROR(INDEX(창고검색범위,SMALL(IF((찾을값=창고검색),MATCH(ROW(창고검색),ROW(창고검색)),""),ROWS($A$1:I65)),COLUMNS($A$1:I65)),"")</x:f>
        <x:v/>
      </x:c>
    </x:row>
    <x:row r="67" spans="1:10">
      <x:c r="A67" s="173"/>
      <x:c r="B67" s="8" t="str">
        <x:f t="array" ref="B67:B67">IFERROR(INDEX(창고검색범위,SMALL(IF((찾을값=창고검색),MATCH(ROW(창고검색),ROW(창고검색)),""),ROWS($A$1:A66)),COLUMNS($A$1:A66)),"")</x:f>
        <x:v/>
      </x:c>
      <x:c r="C67" s="8" t="str">
        <x:f t="array" ref="C67:C67">IFERROR(INDEX(창고검색범위,SMALL(IF((찾을값=창고검색),MATCH(ROW(창고검색),ROW(창고검색)),""),ROWS($A$1:B66)),COLUMNS($A$1:B66)),"")</x:f>
        <x:v/>
      </x:c>
      <x:c r="D67" s="8" t="str">
        <x:f t="array" ref="D67:D67">IFERROR(INDEX(창고검색범위,SMALL(IF((찾을값=창고검색),MATCH(ROW(창고검색),ROW(창고검색)),""),ROWS($A$1:C66)),COLUMNS($A$1:C66)),"")</x:f>
        <x:v/>
      </x:c>
      <x:c r="E67" s="8" t="str">
        <x:f t="array" ref="E67:E67">IFERROR(INDEX(창고검색범위,SMALL(IF((찾을값=창고검색),MATCH(ROW(창고검색),ROW(창고검색)),""),ROWS($A$1:D66)),COLUMNS($A$1:D66)),"")</x:f>
        <x:v/>
      </x:c>
      <x:c r="F67" s="8" t="str">
        <x:f t="array" ref="F67:F67">IFERROR(INDEX(창고검색범위,SMALL(IF((찾을값=창고검색),MATCH(ROW(창고검색),ROW(창고검색)),""),ROWS($A$1:E66)),COLUMNS($A$1:E66)),"")</x:f>
        <x:v/>
      </x:c>
      <x:c r="G67" s="8" t="str">
        <x:f t="array" ref="G67:G67">IFERROR(INDEX(창고검색범위,SMALL(IF((찾을값=창고검색),MATCH(ROW(창고검색),ROW(창고검색)),""),ROWS($A$1:F66)),COLUMNS($A$1:F66)),"")</x:f>
        <x:v/>
      </x:c>
      <x:c r="H67" s="8" t="str">
        <x:f t="array" ref="H67:H67">IFERROR(INDEX(창고검색범위,SMALL(IF((찾을값=창고검색),MATCH(ROW(창고검색),ROW(창고검색)),""),ROWS($A$1:G66)),COLUMNS($A$1:G66)),"")</x:f>
        <x:v/>
      </x:c>
      <x:c r="I67" s="117" t="str">
        <x:f t="array" ref="I67:I67">IFERROR(INDEX(창고검색범위,SMALL(IF((찾을값=창고검색),MATCH(ROW(창고검색),ROW(창고검색)),""),ROWS($A$1:H66)),COLUMNS($A$1:H66)),"")</x:f>
        <x:v/>
      </x:c>
      <x:c r="J67" s="118" t="str">
        <x:f t="array" ref="J67:J67">IFERROR(INDEX(창고검색범위,SMALL(IF((찾을값=창고검색),MATCH(ROW(창고검색),ROW(창고검색)),""),ROWS($A$1:I66)),COLUMNS($A$1:I66)),"")</x:f>
        <x:v/>
      </x:c>
    </x:row>
    <x:row r="68" spans="1:10">
      <x:c r="A68" s="172"/>
      <x:c r="B68" s="7" t="str">
        <x:f t="array" ref="B68:B68">IFERROR(INDEX(창고검색범위,SMALL(IF((찾을값=창고검색),MATCH(ROW(창고검색),ROW(창고검색)),""),ROWS($A$1:A67)),COLUMNS($A$1:A67)),"")</x:f>
        <x:v/>
      </x:c>
      <x:c r="C68" s="7" t="str">
        <x:f t="array" ref="C68:C68">IFERROR(INDEX(창고검색범위,SMALL(IF((찾을값=창고검색),MATCH(ROW(창고검색),ROW(창고검색)),""),ROWS($A$1:B67)),COLUMNS($A$1:B67)),"")</x:f>
        <x:v/>
      </x:c>
      <x:c r="D68" s="7" t="str">
        <x:f t="array" ref="D68:D68">IFERROR(INDEX(창고검색범위,SMALL(IF((찾을값=창고검색),MATCH(ROW(창고검색),ROW(창고검색)),""),ROWS($A$1:C67)),COLUMNS($A$1:C67)),"")</x:f>
        <x:v/>
      </x:c>
      <x:c r="E68" s="7" t="str">
        <x:f t="array" ref="E68:E68">IFERROR(INDEX(창고검색범위,SMALL(IF((찾을값=창고검색),MATCH(ROW(창고검색),ROW(창고검색)),""),ROWS($A$1:D67)),COLUMNS($A$1:D67)),"")</x:f>
        <x:v/>
      </x:c>
      <x:c r="F68" s="7" t="str">
        <x:f t="array" ref="F68:F68">IFERROR(INDEX(창고검색범위,SMALL(IF((찾을값=창고검색),MATCH(ROW(창고검색),ROW(창고검색)),""),ROWS($A$1:E67)),COLUMNS($A$1:E67)),"")</x:f>
        <x:v/>
      </x:c>
      <x:c r="G68" s="7" t="str">
        <x:f t="array" ref="G68:G68">IFERROR(INDEX(창고검색범위,SMALL(IF((찾을값=창고검색),MATCH(ROW(창고검색),ROW(창고검색)),""),ROWS($A$1:F67)),COLUMNS($A$1:F67)),"")</x:f>
        <x:v/>
      </x:c>
      <x:c r="H68" s="7" t="str">
        <x:f t="array" ref="H68:H68">IFERROR(INDEX(창고검색범위,SMALL(IF((찾을값=창고검색),MATCH(ROW(창고검색),ROW(창고검색)),""),ROWS($A$1:G67)),COLUMNS($A$1:G67)),"")</x:f>
        <x:v/>
      </x:c>
      <x:c r="I68" s="119" t="str">
        <x:f t="array" ref="I68:I68">IFERROR(INDEX(창고검색범위,SMALL(IF((찾을값=창고검색),MATCH(ROW(창고검색),ROW(창고검색)),""),ROWS($A$1:H67)),COLUMNS($A$1:H67)),"")</x:f>
        <x:v/>
      </x:c>
      <x:c r="J68" s="120" t="str">
        <x:f t="array" ref="J68:J68">IFERROR(INDEX(창고검색범위,SMALL(IF((찾을값=창고검색),MATCH(ROW(창고검색),ROW(창고검색)),""),ROWS($A$1:I67)),COLUMNS($A$1:I67)),"")</x:f>
        <x:v/>
      </x:c>
    </x:row>
    <x:row r="69" spans="1:10">
      <x:c r="A69" s="173"/>
      <x:c r="B69" s="8" t="str">
        <x:f t="array" ref="B69:B69">IFERROR(INDEX(창고검색범위,SMALL(IF((찾을값=창고검색),MATCH(ROW(창고검색),ROW(창고검색)),""),ROWS($A$1:A68)),COLUMNS($A$1:A68)),"")</x:f>
        <x:v/>
      </x:c>
      <x:c r="C69" s="8" t="str">
        <x:f t="array" ref="C69:C69">IFERROR(INDEX(창고검색범위,SMALL(IF((찾을값=창고검색),MATCH(ROW(창고검색),ROW(창고검색)),""),ROWS($A$1:B68)),COLUMNS($A$1:B68)),"")</x:f>
        <x:v/>
      </x:c>
      <x:c r="D69" s="8" t="str">
        <x:f t="array" ref="D69:D69">IFERROR(INDEX(창고검색범위,SMALL(IF((찾을값=창고검색),MATCH(ROW(창고검색),ROW(창고검색)),""),ROWS($A$1:C68)),COLUMNS($A$1:C68)),"")</x:f>
        <x:v/>
      </x:c>
      <x:c r="E69" s="8" t="str">
        <x:f t="array" ref="E69:E69">IFERROR(INDEX(창고검색범위,SMALL(IF((찾을값=창고검색),MATCH(ROW(창고검색),ROW(창고검색)),""),ROWS($A$1:D68)),COLUMNS($A$1:D68)),"")</x:f>
        <x:v/>
      </x:c>
      <x:c r="F69" s="8" t="str">
        <x:f t="array" ref="F69:F69">IFERROR(INDEX(창고검색범위,SMALL(IF((찾을값=창고검색),MATCH(ROW(창고검색),ROW(창고검색)),""),ROWS($A$1:E68)),COLUMNS($A$1:E68)),"")</x:f>
        <x:v/>
      </x:c>
      <x:c r="G69" s="8" t="str">
        <x:f t="array" ref="G69:G69">IFERROR(INDEX(창고검색범위,SMALL(IF((찾을값=창고검색),MATCH(ROW(창고검색),ROW(창고검색)),""),ROWS($A$1:F68)),COLUMNS($A$1:F68)),"")</x:f>
        <x:v/>
      </x:c>
      <x:c r="H69" s="8" t="str">
        <x:f t="array" ref="H69:H69">IFERROR(INDEX(창고검색범위,SMALL(IF((찾을값=창고검색),MATCH(ROW(창고검색),ROW(창고검색)),""),ROWS($A$1:G68)),COLUMNS($A$1:G68)),"")</x:f>
        <x:v/>
      </x:c>
      <x:c r="I69" s="117" t="str">
        <x:f t="array" ref="I69:I69">IFERROR(INDEX(창고검색범위,SMALL(IF((찾을값=창고검색),MATCH(ROW(창고검색),ROW(창고검색)),""),ROWS($A$1:H68)),COLUMNS($A$1:H68)),"")</x:f>
        <x:v/>
      </x:c>
      <x:c r="J69" s="118" t="str">
        <x:f t="array" ref="J69:J69">IFERROR(INDEX(창고검색범위,SMALL(IF((찾을값=창고검색),MATCH(ROW(창고검색),ROW(창고검색)),""),ROWS($A$1:I68)),COLUMNS($A$1:I68)),"")</x:f>
        <x:v/>
      </x:c>
    </x:row>
    <x:row r="70" spans="1:10">
      <x:c r="A70" s="172"/>
      <x:c r="B70" s="7" t="str">
        <x:f t="array" ref="B70:B70">IFERROR(INDEX(창고검색범위,SMALL(IF((찾을값=창고검색),MATCH(ROW(창고검색),ROW(창고검색)),""),ROWS($A$1:A69)),COLUMNS($A$1:A69)),"")</x:f>
        <x:v/>
      </x:c>
      <x:c r="C70" s="7" t="str">
        <x:f t="array" ref="C70:C70">IFERROR(INDEX(창고검색범위,SMALL(IF((찾을값=창고검색),MATCH(ROW(창고검색),ROW(창고검색)),""),ROWS($A$1:B69)),COLUMNS($A$1:B69)),"")</x:f>
        <x:v/>
      </x:c>
      <x:c r="D70" s="7" t="str">
        <x:f t="array" ref="D70:D70">IFERROR(INDEX(창고검색범위,SMALL(IF((찾을값=창고검색),MATCH(ROW(창고검색),ROW(창고검색)),""),ROWS($A$1:C69)),COLUMNS($A$1:C69)),"")</x:f>
        <x:v/>
      </x:c>
      <x:c r="E70" s="7" t="str">
        <x:f t="array" ref="E70:E70">IFERROR(INDEX(창고검색범위,SMALL(IF((찾을값=창고검색),MATCH(ROW(창고검색),ROW(창고검색)),""),ROWS($A$1:D69)),COLUMNS($A$1:D69)),"")</x:f>
        <x:v/>
      </x:c>
      <x:c r="F70" s="7" t="str">
        <x:f t="array" ref="F70:F70">IFERROR(INDEX(창고검색범위,SMALL(IF((찾을값=창고검색),MATCH(ROW(창고검색),ROW(창고검색)),""),ROWS($A$1:E69)),COLUMNS($A$1:E69)),"")</x:f>
        <x:v/>
      </x:c>
      <x:c r="G70" s="7" t="str">
        <x:f t="array" ref="G70:G70">IFERROR(INDEX(창고검색범위,SMALL(IF((찾을값=창고검색),MATCH(ROW(창고검색),ROW(창고검색)),""),ROWS($A$1:F69)),COLUMNS($A$1:F69)),"")</x:f>
        <x:v/>
      </x:c>
      <x:c r="H70" s="7" t="str">
        <x:f t="array" ref="H70:H70">IFERROR(INDEX(창고검색범위,SMALL(IF((찾을값=창고검색),MATCH(ROW(창고검색),ROW(창고검색)),""),ROWS($A$1:G69)),COLUMNS($A$1:G69)),"")</x:f>
        <x:v/>
      </x:c>
      <x:c r="I70" s="119" t="str">
        <x:f t="array" ref="I70:I70">IFERROR(INDEX(창고검색범위,SMALL(IF((찾을값=창고검색),MATCH(ROW(창고검색),ROW(창고검색)),""),ROWS($A$1:H69)),COLUMNS($A$1:H69)),"")</x:f>
        <x:v/>
      </x:c>
      <x:c r="J70" s="120" t="str">
        <x:f t="array" ref="J70:J70">IFERROR(INDEX(창고검색범위,SMALL(IF((찾을값=창고검색),MATCH(ROW(창고검색),ROW(창고검색)),""),ROWS($A$1:I69)),COLUMNS($A$1:I69)),"")</x:f>
        <x:v/>
      </x:c>
    </x:row>
    <x:row r="71" spans="1:10">
      <x:c r="A71" s="173"/>
      <x:c r="B71" s="8" t="str">
        <x:f t="array" ref="B71:B71">IFERROR(INDEX(창고검색범위,SMALL(IF((찾을값=창고검색),MATCH(ROW(창고검색),ROW(창고검색)),""),ROWS($A$1:A70)),COLUMNS($A$1:A70)),"")</x:f>
        <x:v/>
      </x:c>
      <x:c r="C71" s="8" t="str">
        <x:f t="array" ref="C71:C71">IFERROR(INDEX(창고검색범위,SMALL(IF((찾을값=창고검색),MATCH(ROW(창고검색),ROW(창고검색)),""),ROWS($A$1:B70)),COLUMNS($A$1:B70)),"")</x:f>
        <x:v/>
      </x:c>
      <x:c r="D71" s="8" t="str">
        <x:f t="array" ref="D71:D71">IFERROR(INDEX(창고검색범위,SMALL(IF((찾을값=창고검색),MATCH(ROW(창고검색),ROW(창고검색)),""),ROWS($A$1:C70)),COLUMNS($A$1:C70)),"")</x:f>
        <x:v/>
      </x:c>
      <x:c r="E71" s="8" t="str">
        <x:f t="array" ref="E71:E71">IFERROR(INDEX(창고검색범위,SMALL(IF((찾을값=창고검색),MATCH(ROW(창고검색),ROW(창고검색)),""),ROWS($A$1:D70)),COLUMNS($A$1:D70)),"")</x:f>
        <x:v/>
      </x:c>
      <x:c r="F71" s="8" t="str">
        <x:f t="array" ref="F71:F71">IFERROR(INDEX(창고검색범위,SMALL(IF((찾을값=창고검색),MATCH(ROW(창고검색),ROW(창고검색)),""),ROWS($A$1:E70)),COLUMNS($A$1:E70)),"")</x:f>
        <x:v/>
      </x:c>
      <x:c r="G71" s="8" t="str">
        <x:f t="array" ref="G71:G71">IFERROR(INDEX(창고검색범위,SMALL(IF((찾을값=창고검색),MATCH(ROW(창고검색),ROW(창고검색)),""),ROWS($A$1:F70)),COLUMNS($A$1:F70)),"")</x:f>
        <x:v/>
      </x:c>
      <x:c r="H71" s="8" t="str">
        <x:f t="array" ref="H71:H71">IFERROR(INDEX(창고검색범위,SMALL(IF((찾을값=창고검색),MATCH(ROW(창고검색),ROW(창고검색)),""),ROWS($A$1:G70)),COLUMNS($A$1:G70)),"")</x:f>
        <x:v/>
      </x:c>
      <x:c r="I71" s="117" t="str">
        <x:f t="array" ref="I71:I71">IFERROR(INDEX(창고검색범위,SMALL(IF((찾을값=창고검색),MATCH(ROW(창고검색),ROW(창고검색)),""),ROWS($A$1:H70)),COLUMNS($A$1:H70)),"")</x:f>
        <x:v/>
      </x:c>
      <x:c r="J71" s="118" t="str">
        <x:f t="array" ref="J71:J71">IFERROR(INDEX(창고검색범위,SMALL(IF((찾을값=창고검색),MATCH(ROW(창고검색),ROW(창고검색)),""),ROWS($A$1:I70)),COLUMNS($A$1:I70)),"")</x:f>
        <x:v/>
      </x:c>
    </x:row>
    <x:row r="72" spans="1:10">
      <x:c r="A72" s="172"/>
      <x:c r="B72" s="7" t="str">
        <x:f t="array" ref="B72:B72">IFERROR(INDEX(창고검색범위,SMALL(IF((찾을값=창고검색),MATCH(ROW(창고검색),ROW(창고검색)),""),ROWS($A$1:A71)),COLUMNS($A$1:A71)),"")</x:f>
        <x:v/>
      </x:c>
      <x:c r="C72" s="7" t="str">
        <x:f t="array" ref="C72:C72">IFERROR(INDEX(창고검색범위,SMALL(IF((찾을값=창고검색),MATCH(ROW(창고검색),ROW(창고검색)),""),ROWS($A$1:B71)),COLUMNS($A$1:B71)),"")</x:f>
        <x:v/>
      </x:c>
      <x:c r="D72" s="7" t="str">
        <x:f t="array" ref="D72:D72">IFERROR(INDEX(창고검색범위,SMALL(IF((찾을값=창고검색),MATCH(ROW(창고검색),ROW(창고검색)),""),ROWS($A$1:C71)),COLUMNS($A$1:C71)),"")</x:f>
        <x:v/>
      </x:c>
      <x:c r="E72" s="7" t="str">
        <x:f t="array" ref="E72:E72">IFERROR(INDEX(창고검색범위,SMALL(IF((찾을값=창고검색),MATCH(ROW(창고검색),ROW(창고검색)),""),ROWS($A$1:D71)),COLUMNS($A$1:D71)),"")</x:f>
        <x:v/>
      </x:c>
      <x:c r="F72" s="7" t="str">
        <x:f t="array" ref="F72:F72">IFERROR(INDEX(창고검색범위,SMALL(IF((찾을값=창고검색),MATCH(ROW(창고검색),ROW(창고검색)),""),ROWS($A$1:E71)),COLUMNS($A$1:E71)),"")</x:f>
        <x:v/>
      </x:c>
      <x:c r="G72" s="7" t="str">
        <x:f t="array" ref="G72:G72">IFERROR(INDEX(창고검색범위,SMALL(IF((찾을값=창고검색),MATCH(ROW(창고검색),ROW(창고검색)),""),ROWS($A$1:F71)),COLUMNS($A$1:F71)),"")</x:f>
        <x:v/>
      </x:c>
      <x:c r="H72" s="7" t="str">
        <x:f t="array" ref="H72:H72">IFERROR(INDEX(창고검색범위,SMALL(IF((찾을값=창고검색),MATCH(ROW(창고검색),ROW(창고검색)),""),ROWS($A$1:G71)),COLUMNS($A$1:G71)),"")</x:f>
        <x:v/>
      </x:c>
      <x:c r="I72" s="119" t="str">
        <x:f t="array" ref="I72:I72">IFERROR(INDEX(창고검색범위,SMALL(IF((찾을값=창고검색),MATCH(ROW(창고검색),ROW(창고검색)),""),ROWS($A$1:H71)),COLUMNS($A$1:H71)),"")</x:f>
        <x:v/>
      </x:c>
      <x:c r="J72" s="120" t="str">
        <x:f t="array" ref="J72:J72">IFERROR(INDEX(창고검색범위,SMALL(IF((찾을값=창고검색),MATCH(ROW(창고검색),ROW(창고검색)),""),ROWS($A$1:I71)),COLUMNS($A$1:I71)),"")</x:f>
        <x:v/>
      </x:c>
    </x:row>
    <x:row r="73" spans="1:10">
      <x:c r="A73" s="173"/>
      <x:c r="B73" s="8" t="str">
        <x:f t="array" ref="B73:B73">IFERROR(INDEX(창고검색범위,SMALL(IF((찾을값=창고검색),MATCH(ROW(창고검색),ROW(창고검색)),""),ROWS($A$1:A72)),COLUMNS($A$1:A72)),"")</x:f>
        <x:v/>
      </x:c>
      <x:c r="C73" s="8" t="str">
        <x:f t="array" ref="C73:C73">IFERROR(INDEX(창고검색범위,SMALL(IF((찾을값=창고검색),MATCH(ROW(창고검색),ROW(창고검색)),""),ROWS($A$1:B72)),COLUMNS($A$1:B72)),"")</x:f>
        <x:v/>
      </x:c>
      <x:c r="D73" s="8" t="str">
        <x:f t="array" ref="D73:D73">IFERROR(INDEX(창고검색범위,SMALL(IF((찾을값=창고검색),MATCH(ROW(창고검색),ROW(창고검색)),""),ROWS($A$1:C72)),COLUMNS($A$1:C72)),"")</x:f>
        <x:v/>
      </x:c>
      <x:c r="E73" s="8" t="str">
        <x:f t="array" ref="E73:E73">IFERROR(INDEX(창고검색범위,SMALL(IF((찾을값=창고검색),MATCH(ROW(창고검색),ROW(창고검색)),""),ROWS($A$1:D72)),COLUMNS($A$1:D72)),"")</x:f>
        <x:v/>
      </x:c>
      <x:c r="F73" s="8" t="str">
        <x:f t="array" ref="F73:F73">IFERROR(INDEX(창고검색범위,SMALL(IF((찾을값=창고검색),MATCH(ROW(창고검색),ROW(창고검색)),""),ROWS($A$1:E72)),COLUMNS($A$1:E72)),"")</x:f>
        <x:v/>
      </x:c>
      <x:c r="G73" s="8" t="str">
        <x:f t="array" ref="G73:G73">IFERROR(INDEX(창고검색범위,SMALL(IF((찾을값=창고검색),MATCH(ROW(창고검색),ROW(창고검색)),""),ROWS($A$1:F72)),COLUMNS($A$1:F72)),"")</x:f>
        <x:v/>
      </x:c>
      <x:c r="H73" s="8" t="str">
        <x:f t="array" ref="H73:H73">IFERROR(INDEX(창고검색범위,SMALL(IF((찾을값=창고검색),MATCH(ROW(창고검색),ROW(창고검색)),""),ROWS($A$1:G72)),COLUMNS($A$1:G72)),"")</x:f>
        <x:v/>
      </x:c>
      <x:c r="I73" s="117" t="str">
        <x:f t="array" ref="I73:I73">IFERROR(INDEX(창고검색범위,SMALL(IF((찾을값=창고검색),MATCH(ROW(창고검색),ROW(창고검색)),""),ROWS($A$1:H72)),COLUMNS($A$1:H72)),"")</x:f>
        <x:v/>
      </x:c>
      <x:c r="J73" s="118" t="str">
        <x:f t="array" ref="J73:J73">IFERROR(INDEX(창고검색범위,SMALL(IF((찾을값=창고검색),MATCH(ROW(창고검색),ROW(창고검색)),""),ROWS($A$1:I72)),COLUMNS($A$1:I72)),"")</x:f>
        <x:v/>
      </x:c>
    </x:row>
    <x:row r="74" spans="1:10">
      <x:c r="A74" s="172"/>
      <x:c r="B74" s="7" t="str">
        <x:f t="array" ref="B74:B74">IFERROR(INDEX(창고검색범위,SMALL(IF((찾을값=창고검색),MATCH(ROW(창고검색),ROW(창고검색)),""),ROWS($A$1:A73)),COLUMNS($A$1:A73)),"")</x:f>
        <x:v/>
      </x:c>
      <x:c r="C74" s="7" t="str">
        <x:f t="array" ref="C74:C74">IFERROR(INDEX(창고검색범위,SMALL(IF((찾을값=창고검색),MATCH(ROW(창고검색),ROW(창고검색)),""),ROWS($A$1:B73)),COLUMNS($A$1:B73)),"")</x:f>
        <x:v/>
      </x:c>
      <x:c r="D74" s="7" t="str">
        <x:f t="array" ref="D74:D74">IFERROR(INDEX(창고검색범위,SMALL(IF((찾을값=창고검색),MATCH(ROW(창고검색),ROW(창고검색)),""),ROWS($A$1:C73)),COLUMNS($A$1:C73)),"")</x:f>
        <x:v/>
      </x:c>
      <x:c r="E74" s="7" t="str">
        <x:f t="array" ref="E74:E74">IFERROR(INDEX(창고검색범위,SMALL(IF((찾을값=창고검색),MATCH(ROW(창고검색),ROW(창고검색)),""),ROWS($A$1:D73)),COLUMNS($A$1:D73)),"")</x:f>
        <x:v/>
      </x:c>
      <x:c r="F74" s="7" t="str">
        <x:f t="array" ref="F74:F74">IFERROR(INDEX(창고검색범위,SMALL(IF((찾을값=창고검색),MATCH(ROW(창고검색),ROW(창고검색)),""),ROWS($A$1:E73)),COLUMNS($A$1:E73)),"")</x:f>
        <x:v/>
      </x:c>
      <x:c r="G74" s="7" t="str">
        <x:f t="array" ref="G74:G74">IFERROR(INDEX(창고검색범위,SMALL(IF((찾을값=창고검색),MATCH(ROW(창고검색),ROW(창고검색)),""),ROWS($A$1:F73)),COLUMNS($A$1:F73)),"")</x:f>
        <x:v/>
      </x:c>
      <x:c r="H74" s="7" t="str">
        <x:f t="array" ref="H74:H74">IFERROR(INDEX(창고검색범위,SMALL(IF((찾을값=창고검색),MATCH(ROW(창고검색),ROW(창고검색)),""),ROWS($A$1:G73)),COLUMNS($A$1:G73)),"")</x:f>
        <x:v/>
      </x:c>
      <x:c r="I74" s="119" t="str">
        <x:f t="array" ref="I74:I74">IFERROR(INDEX(창고검색범위,SMALL(IF((찾을값=창고검색),MATCH(ROW(창고검색),ROW(창고검색)),""),ROWS($A$1:H73)),COLUMNS($A$1:H73)),"")</x:f>
        <x:v/>
      </x:c>
      <x:c r="J74" s="120" t="str">
        <x:f t="array" ref="J74:J74">IFERROR(INDEX(창고검색범위,SMALL(IF((찾을값=창고검색),MATCH(ROW(창고검색),ROW(창고검색)),""),ROWS($A$1:I73)),COLUMNS($A$1:I73)),"")</x:f>
        <x:v/>
      </x:c>
    </x:row>
    <x:row r="75" spans="1:10">
      <x:c r="A75" s="173"/>
      <x:c r="B75" s="8" t="str">
        <x:f t="array" ref="B75:B75">IFERROR(INDEX(창고검색범위,SMALL(IF((찾을값=창고검색),MATCH(ROW(창고검색),ROW(창고검색)),""),ROWS($A$1:A74)),COLUMNS($A$1:A74)),"")</x:f>
        <x:v/>
      </x:c>
      <x:c r="C75" s="8" t="str">
        <x:f t="array" ref="C75:C75">IFERROR(INDEX(창고검색범위,SMALL(IF((찾을값=창고검색),MATCH(ROW(창고검색),ROW(창고검색)),""),ROWS($A$1:B74)),COLUMNS($A$1:B74)),"")</x:f>
        <x:v/>
      </x:c>
      <x:c r="D75" s="8" t="str">
        <x:f t="array" ref="D75:D75">IFERROR(INDEX(창고검색범위,SMALL(IF((찾을값=창고검색),MATCH(ROW(창고검색),ROW(창고검색)),""),ROWS($A$1:C74)),COLUMNS($A$1:C74)),"")</x:f>
        <x:v/>
      </x:c>
      <x:c r="E75" s="8" t="str">
        <x:f t="array" ref="E75:E75">IFERROR(INDEX(창고검색범위,SMALL(IF((찾을값=창고검색),MATCH(ROW(창고검색),ROW(창고검색)),""),ROWS($A$1:D74)),COLUMNS($A$1:D74)),"")</x:f>
        <x:v/>
      </x:c>
      <x:c r="F75" s="8" t="str">
        <x:f t="array" ref="F75:F75">IFERROR(INDEX(창고검색범위,SMALL(IF((찾을값=창고검색),MATCH(ROW(창고검색),ROW(창고검색)),""),ROWS($A$1:E74)),COLUMNS($A$1:E74)),"")</x:f>
        <x:v/>
      </x:c>
      <x:c r="G75" s="8" t="str">
        <x:f t="array" ref="G75:G75">IFERROR(INDEX(창고검색범위,SMALL(IF((찾을값=창고검색),MATCH(ROW(창고검색),ROW(창고검색)),""),ROWS($A$1:F74)),COLUMNS($A$1:F74)),"")</x:f>
        <x:v/>
      </x:c>
      <x:c r="H75" s="8" t="str">
        <x:f t="array" ref="H75:H75">IFERROR(INDEX(창고검색범위,SMALL(IF((찾을값=창고검색),MATCH(ROW(창고검색),ROW(창고검색)),""),ROWS($A$1:G74)),COLUMNS($A$1:G74)),"")</x:f>
        <x:v/>
      </x:c>
      <x:c r="I75" s="117" t="str">
        <x:f t="array" ref="I75:I75">IFERROR(INDEX(창고검색범위,SMALL(IF((찾을값=창고검색),MATCH(ROW(창고검색),ROW(창고검색)),""),ROWS($A$1:H74)),COLUMNS($A$1:H74)),"")</x:f>
        <x:v/>
      </x:c>
      <x:c r="J75" s="118" t="str">
        <x:f t="array" ref="J75:J75">IFERROR(INDEX(창고검색범위,SMALL(IF((찾을값=창고검색),MATCH(ROW(창고검색),ROW(창고검색)),""),ROWS($A$1:I74)),COLUMNS($A$1:I74)),"")</x:f>
        <x:v/>
      </x:c>
    </x:row>
    <x:row r="76" spans="1:10">
      <x:c r="A76" s="172"/>
      <x:c r="B76" s="7" t="str">
        <x:f t="array" ref="B76:B76">IFERROR(INDEX(창고검색범위,SMALL(IF((찾을값=창고검색),MATCH(ROW(창고검색),ROW(창고검색)),""),ROWS($A$1:A75)),COLUMNS($A$1:A75)),"")</x:f>
        <x:v/>
      </x:c>
      <x:c r="C76" s="7" t="str">
        <x:f t="array" ref="C76:C76">IFERROR(INDEX(창고검색범위,SMALL(IF((찾을값=창고검색),MATCH(ROW(창고검색),ROW(창고검색)),""),ROWS($A$1:B75)),COLUMNS($A$1:B75)),"")</x:f>
        <x:v/>
      </x:c>
      <x:c r="D76" s="7" t="str">
        <x:f t="array" ref="D76:D76">IFERROR(INDEX(창고검색범위,SMALL(IF((찾을값=창고검색),MATCH(ROW(창고검색),ROW(창고검색)),""),ROWS($A$1:C75)),COLUMNS($A$1:C75)),"")</x:f>
        <x:v/>
      </x:c>
      <x:c r="E76" s="7" t="str">
        <x:f t="array" ref="E76:E76">IFERROR(INDEX(창고검색범위,SMALL(IF((찾을값=창고검색),MATCH(ROW(창고검색),ROW(창고검색)),""),ROWS($A$1:D75)),COLUMNS($A$1:D75)),"")</x:f>
        <x:v/>
      </x:c>
      <x:c r="F76" s="7" t="str">
        <x:f t="array" ref="F76:F76">IFERROR(INDEX(창고검색범위,SMALL(IF((찾을값=창고검색),MATCH(ROW(창고검색),ROW(창고검색)),""),ROWS($A$1:E75)),COLUMNS($A$1:E75)),"")</x:f>
        <x:v/>
      </x:c>
      <x:c r="G76" s="7" t="str">
        <x:f t="array" ref="G76:G76">IFERROR(INDEX(창고검색범위,SMALL(IF((찾을값=창고검색),MATCH(ROW(창고검색),ROW(창고검색)),""),ROWS($A$1:F75)),COLUMNS($A$1:F75)),"")</x:f>
        <x:v/>
      </x:c>
      <x:c r="H76" s="7" t="str">
        <x:f t="array" ref="H76:H76">IFERROR(INDEX(창고검색범위,SMALL(IF((찾을값=창고검색),MATCH(ROW(창고검색),ROW(창고검색)),""),ROWS($A$1:G75)),COLUMNS($A$1:G75)),"")</x:f>
        <x:v/>
      </x:c>
      <x:c r="I76" s="119" t="str">
        <x:f t="array" ref="I76:I76">IFERROR(INDEX(창고검색범위,SMALL(IF((찾을값=창고검색),MATCH(ROW(창고검색),ROW(창고검색)),""),ROWS($A$1:H75)),COLUMNS($A$1:H75)),"")</x:f>
        <x:v/>
      </x:c>
      <x:c r="J76" s="120" t="str">
        <x:f t="array" ref="J76:J76">IFERROR(INDEX(창고검색범위,SMALL(IF((찾을값=창고검색),MATCH(ROW(창고검색),ROW(창고검색)),""),ROWS($A$1:I75)),COLUMNS($A$1:I75)),"")</x:f>
        <x:v/>
      </x:c>
    </x:row>
    <x:row r="77" spans="1:10">
      <x:c r="A77" s="173"/>
      <x:c r="B77" s="8" t="str">
        <x:f t="array" ref="B77:B77">IFERROR(INDEX(창고검색범위,SMALL(IF((찾을값=창고검색),MATCH(ROW(창고검색),ROW(창고검색)),""),ROWS($A$1:A76)),COLUMNS($A$1:A76)),"")</x:f>
        <x:v/>
      </x:c>
      <x:c r="C77" s="8" t="str">
        <x:f t="array" ref="C77:C77">IFERROR(INDEX(창고검색범위,SMALL(IF((찾을값=창고검색),MATCH(ROW(창고검색),ROW(창고검색)),""),ROWS($A$1:B76)),COLUMNS($A$1:B76)),"")</x:f>
        <x:v/>
      </x:c>
      <x:c r="D77" s="8" t="str">
        <x:f t="array" ref="D77:D77">IFERROR(INDEX(창고검색범위,SMALL(IF((찾을값=창고검색),MATCH(ROW(창고검색),ROW(창고검색)),""),ROWS($A$1:C76)),COLUMNS($A$1:C76)),"")</x:f>
        <x:v/>
      </x:c>
      <x:c r="E77" s="8" t="str">
        <x:f t="array" ref="E77:E77">IFERROR(INDEX(창고검색범위,SMALL(IF((찾을값=창고검색),MATCH(ROW(창고검색),ROW(창고검색)),""),ROWS($A$1:D76)),COLUMNS($A$1:D76)),"")</x:f>
        <x:v/>
      </x:c>
      <x:c r="F77" s="8" t="str">
        <x:f t="array" ref="F77:F77">IFERROR(INDEX(창고검색범위,SMALL(IF((찾을값=창고검색),MATCH(ROW(창고검색),ROW(창고검색)),""),ROWS($A$1:E76)),COLUMNS($A$1:E76)),"")</x:f>
        <x:v/>
      </x:c>
      <x:c r="G77" s="8" t="str">
        <x:f t="array" ref="G77:G77">IFERROR(INDEX(창고검색범위,SMALL(IF((찾을값=창고검색),MATCH(ROW(창고검색),ROW(창고검색)),""),ROWS($A$1:F76)),COLUMNS($A$1:F76)),"")</x:f>
        <x:v/>
      </x:c>
      <x:c r="H77" s="8" t="str">
        <x:f t="array" ref="H77:H77">IFERROR(INDEX(창고검색범위,SMALL(IF((찾을값=창고검색),MATCH(ROW(창고검색),ROW(창고검색)),""),ROWS($A$1:G76)),COLUMNS($A$1:G76)),"")</x:f>
        <x:v/>
      </x:c>
      <x:c r="I77" s="117" t="str">
        <x:f t="array" ref="I77:I77">IFERROR(INDEX(창고검색범위,SMALL(IF((찾을값=창고검색),MATCH(ROW(창고검색),ROW(창고검색)),""),ROWS($A$1:H76)),COLUMNS($A$1:H76)),"")</x:f>
        <x:v/>
      </x:c>
      <x:c r="J77" s="118" t="str">
        <x:f t="array" ref="J77:J77">IFERROR(INDEX(창고검색범위,SMALL(IF((찾을값=창고검색),MATCH(ROW(창고검색),ROW(창고검색)),""),ROWS($A$1:I76)),COLUMNS($A$1:I76)),"")</x:f>
        <x:v/>
      </x:c>
    </x:row>
    <x:row r="78" spans="1:10">
      <x:c r="A78" s="172"/>
      <x:c r="B78" s="7" t="str">
        <x:f t="array" ref="B78:B78">IFERROR(INDEX(창고검색범위,SMALL(IF((찾을값=창고검색),MATCH(ROW(창고검색),ROW(창고검색)),""),ROWS($A$1:A77)),COLUMNS($A$1:A77)),"")</x:f>
        <x:v/>
      </x:c>
      <x:c r="C78" s="7" t="str">
        <x:f t="array" ref="C78:C78">IFERROR(INDEX(창고검색범위,SMALL(IF((찾을값=창고검색),MATCH(ROW(창고검색),ROW(창고검색)),""),ROWS($A$1:B77)),COLUMNS($A$1:B77)),"")</x:f>
        <x:v/>
      </x:c>
      <x:c r="D78" s="7" t="str">
        <x:f t="array" ref="D78:D78">IFERROR(INDEX(창고검색범위,SMALL(IF((찾을값=창고검색),MATCH(ROW(창고검색),ROW(창고검색)),""),ROWS($A$1:C77)),COLUMNS($A$1:C77)),"")</x:f>
        <x:v/>
      </x:c>
      <x:c r="E78" s="7" t="str">
        <x:f t="array" ref="E78:E78">IFERROR(INDEX(창고검색범위,SMALL(IF((찾을값=창고검색),MATCH(ROW(창고검색),ROW(창고검색)),""),ROWS($A$1:D77)),COLUMNS($A$1:D77)),"")</x:f>
        <x:v/>
      </x:c>
      <x:c r="F78" s="7" t="str">
        <x:f t="array" ref="F78:F78">IFERROR(INDEX(창고검색범위,SMALL(IF((찾을값=창고검색),MATCH(ROW(창고검색),ROW(창고검색)),""),ROWS($A$1:E77)),COLUMNS($A$1:E77)),"")</x:f>
        <x:v/>
      </x:c>
      <x:c r="G78" s="7" t="str">
        <x:f t="array" ref="G78:G78">IFERROR(INDEX(창고검색범위,SMALL(IF((찾을값=창고검색),MATCH(ROW(창고검색),ROW(창고검색)),""),ROWS($A$1:F77)),COLUMNS($A$1:F77)),"")</x:f>
        <x:v/>
      </x:c>
      <x:c r="H78" s="7" t="str">
        <x:f t="array" ref="H78:H78">IFERROR(INDEX(창고검색범위,SMALL(IF((찾을값=창고검색),MATCH(ROW(창고검색),ROW(창고검색)),""),ROWS($A$1:G77)),COLUMNS($A$1:G77)),"")</x:f>
        <x:v/>
      </x:c>
      <x:c r="I78" s="119" t="str">
        <x:f t="array" ref="I78:I78">IFERROR(INDEX(창고검색범위,SMALL(IF((찾을값=창고검색),MATCH(ROW(창고검색),ROW(창고검색)),""),ROWS($A$1:H77)),COLUMNS($A$1:H77)),"")</x:f>
        <x:v/>
      </x:c>
      <x:c r="J78" s="120" t="str">
        <x:f t="array" ref="J78:J78">IFERROR(INDEX(창고검색범위,SMALL(IF((찾을값=창고검색),MATCH(ROW(창고검색),ROW(창고검색)),""),ROWS($A$1:I77)),COLUMNS($A$1:I77)),"")</x:f>
        <x:v/>
      </x:c>
    </x:row>
    <x:row r="79" spans="1:10">
      <x:c r="A79" s="173"/>
      <x:c r="B79" s="8" t="str">
        <x:f t="array" ref="B79:B79">IFERROR(INDEX(창고검색범위,SMALL(IF((찾을값=창고검색),MATCH(ROW(창고검색),ROW(창고검색)),""),ROWS($A$1:A78)),COLUMNS($A$1:A78)),"")</x:f>
        <x:v/>
      </x:c>
      <x:c r="C79" s="8" t="str">
        <x:f t="array" ref="C79:C79">IFERROR(INDEX(창고검색범위,SMALL(IF((찾을값=창고검색),MATCH(ROW(창고검색),ROW(창고검색)),""),ROWS($A$1:B78)),COLUMNS($A$1:B78)),"")</x:f>
        <x:v/>
      </x:c>
      <x:c r="D79" s="8" t="str">
        <x:f t="array" ref="D79:D79">IFERROR(INDEX(창고검색범위,SMALL(IF((찾을값=창고검색),MATCH(ROW(창고검색),ROW(창고검색)),""),ROWS($A$1:C78)),COLUMNS($A$1:C78)),"")</x:f>
        <x:v/>
      </x:c>
      <x:c r="E79" s="8" t="str">
        <x:f t="array" ref="E79:E79">IFERROR(INDEX(창고검색범위,SMALL(IF((찾을값=창고검색),MATCH(ROW(창고검색),ROW(창고검색)),""),ROWS($A$1:D78)),COLUMNS($A$1:D78)),"")</x:f>
        <x:v/>
      </x:c>
      <x:c r="F79" s="8" t="str">
        <x:f t="array" ref="F79:F79">IFERROR(INDEX(창고검색범위,SMALL(IF((찾을값=창고검색),MATCH(ROW(창고검색),ROW(창고검색)),""),ROWS($A$1:E78)),COLUMNS($A$1:E78)),"")</x:f>
        <x:v/>
      </x:c>
      <x:c r="G79" s="8" t="str">
        <x:f t="array" ref="G79:G79">IFERROR(INDEX(창고검색범위,SMALL(IF((찾을값=창고검색),MATCH(ROW(창고검색),ROW(창고검색)),""),ROWS($A$1:F78)),COLUMNS($A$1:F78)),"")</x:f>
        <x:v/>
      </x:c>
      <x:c r="H79" s="8" t="str">
        <x:f t="array" ref="H79:H79">IFERROR(INDEX(창고검색범위,SMALL(IF((찾을값=창고검색),MATCH(ROW(창고검색),ROW(창고검색)),""),ROWS($A$1:G78)),COLUMNS($A$1:G78)),"")</x:f>
        <x:v/>
      </x:c>
      <x:c r="I79" s="117" t="str">
        <x:f t="array" ref="I79:I79">IFERROR(INDEX(창고검색범위,SMALL(IF((찾을값=창고검색),MATCH(ROW(창고검색),ROW(창고검색)),""),ROWS($A$1:H78)),COLUMNS($A$1:H78)),"")</x:f>
        <x:v/>
      </x:c>
      <x:c r="J79" s="118" t="str">
        <x:f t="array" ref="J79:J79">IFERROR(INDEX(창고검색범위,SMALL(IF((찾을값=창고검색),MATCH(ROW(창고검색),ROW(창고검색)),""),ROWS($A$1:I78)),COLUMNS($A$1:I78)),"")</x:f>
        <x:v/>
      </x:c>
    </x:row>
    <x:row r="80" spans="1:10">
      <x:c r="A80" s="172"/>
      <x:c r="B80" s="7" t="str">
        <x:f t="array" ref="B80:B80">IFERROR(INDEX(창고검색범위,SMALL(IF((찾을값=창고검색),MATCH(ROW(창고검색),ROW(창고검색)),""),ROWS($A$1:A79)),COLUMNS($A$1:A79)),"")</x:f>
        <x:v/>
      </x:c>
      <x:c r="C80" s="7" t="str">
        <x:f t="array" ref="C80:C80">IFERROR(INDEX(창고검색범위,SMALL(IF((찾을값=창고검색),MATCH(ROW(창고검색),ROW(창고검색)),""),ROWS($A$1:B79)),COLUMNS($A$1:B79)),"")</x:f>
        <x:v/>
      </x:c>
      <x:c r="D80" s="7" t="str">
        <x:f t="array" ref="D80:D80">IFERROR(INDEX(창고검색범위,SMALL(IF((찾을값=창고검색),MATCH(ROW(창고검색),ROW(창고검색)),""),ROWS($A$1:C79)),COLUMNS($A$1:C79)),"")</x:f>
        <x:v/>
      </x:c>
      <x:c r="E80" s="7" t="str">
        <x:f t="array" ref="E80:E80">IFERROR(INDEX(창고검색범위,SMALL(IF((찾을값=창고검색),MATCH(ROW(창고검색),ROW(창고검색)),""),ROWS($A$1:D79)),COLUMNS($A$1:D79)),"")</x:f>
        <x:v/>
      </x:c>
      <x:c r="F80" s="7" t="str">
        <x:f t="array" ref="F80:F80">IFERROR(INDEX(창고검색범위,SMALL(IF((찾을값=창고검색),MATCH(ROW(창고검색),ROW(창고검색)),""),ROWS($A$1:E79)),COLUMNS($A$1:E79)),"")</x:f>
        <x:v/>
      </x:c>
      <x:c r="G80" s="7" t="str">
        <x:f t="array" ref="G80:G80">IFERROR(INDEX(창고검색범위,SMALL(IF((찾을값=창고검색),MATCH(ROW(창고검색),ROW(창고검색)),""),ROWS($A$1:F79)),COLUMNS($A$1:F79)),"")</x:f>
        <x:v/>
      </x:c>
      <x:c r="H80" s="7" t="str">
        <x:f t="array" ref="H80:H80">IFERROR(INDEX(창고검색범위,SMALL(IF((찾을값=창고검색),MATCH(ROW(창고검색),ROW(창고검색)),""),ROWS($A$1:G79)),COLUMNS($A$1:G79)),"")</x:f>
        <x:v/>
      </x:c>
      <x:c r="I80" s="119" t="str">
        <x:f t="array" ref="I80:I80">IFERROR(INDEX(창고검색범위,SMALL(IF((찾을값=창고검색),MATCH(ROW(창고검색),ROW(창고검색)),""),ROWS($A$1:H79)),COLUMNS($A$1:H79)),"")</x:f>
        <x:v/>
      </x:c>
      <x:c r="J80" s="120" t="str">
        <x:f t="array" ref="J80:J80">IFERROR(INDEX(창고검색범위,SMALL(IF((찾을값=창고검색),MATCH(ROW(창고검색),ROW(창고검색)),""),ROWS($A$1:I79)),COLUMNS($A$1:I79)),"")</x:f>
        <x:v/>
      </x:c>
    </x:row>
    <x:row r="81" spans="1:10">
      <x:c r="A81" s="173"/>
      <x:c r="B81" s="8" t="str">
        <x:f t="array" ref="B81:B81">IFERROR(INDEX(창고검색범위,SMALL(IF((찾을값=창고검색),MATCH(ROW(창고검색),ROW(창고검색)),""),ROWS($A$1:A80)),COLUMNS($A$1:A80)),"")</x:f>
        <x:v/>
      </x:c>
      <x:c r="C81" s="8" t="str">
        <x:f t="array" ref="C81:C81">IFERROR(INDEX(창고검색범위,SMALL(IF((찾을값=창고검색),MATCH(ROW(창고검색),ROW(창고검색)),""),ROWS($A$1:B80)),COLUMNS($A$1:B80)),"")</x:f>
        <x:v/>
      </x:c>
      <x:c r="D81" s="8" t="str">
        <x:f t="array" ref="D81:D81">IFERROR(INDEX(창고검색범위,SMALL(IF((찾을값=창고검색),MATCH(ROW(창고검색),ROW(창고검색)),""),ROWS($A$1:C80)),COLUMNS($A$1:C80)),"")</x:f>
        <x:v/>
      </x:c>
      <x:c r="E81" s="8" t="str">
        <x:f t="array" ref="E81:E81">IFERROR(INDEX(창고검색범위,SMALL(IF((찾을값=창고검색),MATCH(ROW(창고검색),ROW(창고검색)),""),ROWS($A$1:D80)),COLUMNS($A$1:D80)),"")</x:f>
        <x:v/>
      </x:c>
      <x:c r="F81" s="8" t="str">
        <x:f t="array" ref="F81:F81">IFERROR(INDEX(창고검색범위,SMALL(IF((찾을값=창고검색),MATCH(ROW(창고검색),ROW(창고검색)),""),ROWS($A$1:E80)),COLUMNS($A$1:E80)),"")</x:f>
        <x:v/>
      </x:c>
      <x:c r="G81" s="8" t="str">
        <x:f t="array" ref="G81:G81">IFERROR(INDEX(창고검색범위,SMALL(IF((찾을값=창고검색),MATCH(ROW(창고검색),ROW(창고검색)),""),ROWS($A$1:F80)),COLUMNS($A$1:F80)),"")</x:f>
        <x:v/>
      </x:c>
      <x:c r="H81" s="8" t="str">
        <x:f t="array" ref="H81:H81">IFERROR(INDEX(창고검색범위,SMALL(IF((찾을값=창고검색),MATCH(ROW(창고검색),ROW(창고검색)),""),ROWS($A$1:G80)),COLUMNS($A$1:G80)),"")</x:f>
        <x:v/>
      </x:c>
      <x:c r="I81" s="117" t="str">
        <x:f t="array" ref="I81:I81">IFERROR(INDEX(창고검색범위,SMALL(IF((찾을값=창고검색),MATCH(ROW(창고검색),ROW(창고검색)),""),ROWS($A$1:H80)),COLUMNS($A$1:H80)),"")</x:f>
        <x:v/>
      </x:c>
      <x:c r="J81" s="118" t="str">
        <x:f t="array" ref="J81:J81">IFERROR(INDEX(창고검색범위,SMALL(IF((찾을값=창고검색),MATCH(ROW(창고검색),ROW(창고검색)),""),ROWS($A$1:I80)),COLUMNS($A$1:I80)),"")</x:f>
        <x:v/>
      </x:c>
    </x:row>
    <x:row r="82" spans="1:10">
      <x:c r="A82" s="172"/>
      <x:c r="B82" s="7" t="str">
        <x:f t="array" ref="B82:B82">IFERROR(INDEX(창고검색범위,SMALL(IF((찾을값=창고검색),MATCH(ROW(창고검색),ROW(창고검색)),""),ROWS($A$1:A81)),COLUMNS($A$1:A81)),"")</x:f>
        <x:v/>
      </x:c>
      <x:c r="C82" s="7" t="str">
        <x:f t="array" ref="C82:C82">IFERROR(INDEX(창고검색범위,SMALL(IF((찾을값=창고검색),MATCH(ROW(창고검색),ROW(창고검색)),""),ROWS($A$1:B81)),COLUMNS($A$1:B81)),"")</x:f>
        <x:v/>
      </x:c>
      <x:c r="D82" s="7" t="str">
        <x:f t="array" ref="D82:D82">IFERROR(INDEX(창고검색범위,SMALL(IF((찾을값=창고검색),MATCH(ROW(창고검색),ROW(창고검색)),""),ROWS($A$1:C81)),COLUMNS($A$1:C81)),"")</x:f>
        <x:v/>
      </x:c>
      <x:c r="E82" s="7" t="str">
        <x:f t="array" ref="E82:E82">IFERROR(INDEX(창고검색범위,SMALL(IF((찾을값=창고검색),MATCH(ROW(창고검색),ROW(창고검색)),""),ROWS($A$1:D81)),COLUMNS($A$1:D81)),"")</x:f>
        <x:v/>
      </x:c>
      <x:c r="F82" s="7" t="str">
        <x:f t="array" ref="F82:F82">IFERROR(INDEX(창고검색범위,SMALL(IF((찾을값=창고검색),MATCH(ROW(창고검색),ROW(창고검색)),""),ROWS($A$1:E81)),COLUMNS($A$1:E81)),"")</x:f>
        <x:v/>
      </x:c>
      <x:c r="G82" s="7" t="str">
        <x:f t="array" ref="G82:G82">IFERROR(INDEX(창고검색범위,SMALL(IF((찾을값=창고검색),MATCH(ROW(창고검색),ROW(창고검색)),""),ROWS($A$1:F81)),COLUMNS($A$1:F81)),"")</x:f>
        <x:v/>
      </x:c>
      <x:c r="H82" s="7" t="str">
        <x:f t="array" ref="H82:H82">IFERROR(INDEX(창고검색범위,SMALL(IF((찾을값=창고검색),MATCH(ROW(창고검색),ROW(창고검색)),""),ROWS($A$1:G81)),COLUMNS($A$1:G81)),"")</x:f>
        <x:v/>
      </x:c>
      <x:c r="I82" s="119" t="str">
        <x:f t="array" ref="I82:I82">IFERROR(INDEX(창고검색범위,SMALL(IF((찾을값=창고검색),MATCH(ROW(창고검색),ROW(창고검색)),""),ROWS($A$1:H81)),COLUMNS($A$1:H81)),"")</x:f>
        <x:v/>
      </x:c>
      <x:c r="J82" s="120" t="str">
        <x:f t="array" ref="J82:J82">IFERROR(INDEX(창고검색범위,SMALL(IF((찾을값=창고검색),MATCH(ROW(창고검색),ROW(창고검색)),""),ROWS($A$1:I81)),COLUMNS($A$1:I81)),"")</x:f>
        <x:v/>
      </x:c>
    </x:row>
    <x:row r="83" spans="1:10">
      <x:c r="A83" s="173"/>
      <x:c r="B83" s="8" t="str">
        <x:f t="array" ref="B83:B83">IFERROR(INDEX(창고검색범위,SMALL(IF((찾을값=창고검색),MATCH(ROW(창고검색),ROW(창고검색)),""),ROWS($A$1:A82)),COLUMNS($A$1:A82)),"")</x:f>
        <x:v/>
      </x:c>
      <x:c r="C83" s="8" t="str">
        <x:f t="array" ref="C83:C83">IFERROR(INDEX(창고검색범위,SMALL(IF((찾을값=창고검색),MATCH(ROW(창고검색),ROW(창고검색)),""),ROWS($A$1:B82)),COLUMNS($A$1:B82)),"")</x:f>
        <x:v/>
      </x:c>
      <x:c r="D83" s="8" t="str">
        <x:f t="array" ref="D83:D83">IFERROR(INDEX(창고검색범위,SMALL(IF((찾을값=창고검색),MATCH(ROW(창고검색),ROW(창고검색)),""),ROWS($A$1:C82)),COLUMNS($A$1:C82)),"")</x:f>
        <x:v/>
      </x:c>
      <x:c r="E83" s="8" t="str">
        <x:f t="array" ref="E83:E83">IFERROR(INDEX(창고검색범위,SMALL(IF((찾을값=창고검색),MATCH(ROW(창고검색),ROW(창고검색)),""),ROWS($A$1:D82)),COLUMNS($A$1:D82)),"")</x:f>
        <x:v/>
      </x:c>
      <x:c r="F83" s="8" t="str">
        <x:f t="array" ref="F83:F83">IFERROR(INDEX(창고검색범위,SMALL(IF((찾을값=창고검색),MATCH(ROW(창고검색),ROW(창고검색)),""),ROWS($A$1:E82)),COLUMNS($A$1:E82)),"")</x:f>
        <x:v/>
      </x:c>
      <x:c r="G83" s="8" t="str">
        <x:f t="array" ref="G83:G83">IFERROR(INDEX(창고검색범위,SMALL(IF((찾을값=창고검색),MATCH(ROW(창고검색),ROW(창고검색)),""),ROWS($A$1:F82)),COLUMNS($A$1:F82)),"")</x:f>
        <x:v/>
      </x:c>
      <x:c r="H83" s="8" t="str">
        <x:f t="array" ref="H83:H83">IFERROR(INDEX(창고검색범위,SMALL(IF((찾을값=창고검색),MATCH(ROW(창고검색),ROW(창고검색)),""),ROWS($A$1:G82)),COLUMNS($A$1:G82)),"")</x:f>
        <x:v/>
      </x:c>
      <x:c r="I83" s="117" t="str">
        <x:f t="array" ref="I83:I83">IFERROR(INDEX(창고검색범위,SMALL(IF((찾을값=창고검색),MATCH(ROW(창고검색),ROW(창고검색)),""),ROWS($A$1:H82)),COLUMNS($A$1:H82)),"")</x:f>
        <x:v/>
      </x:c>
      <x:c r="J83" s="118" t="str">
        <x:f t="array" ref="J83:J83">IFERROR(INDEX(창고검색범위,SMALL(IF((찾을값=창고검색),MATCH(ROW(창고검색),ROW(창고검색)),""),ROWS($A$1:I82)),COLUMNS($A$1:I82)),"")</x:f>
        <x:v/>
      </x:c>
    </x:row>
    <x:row r="84" spans="1:10">
      <x:c r="A84" s="172"/>
      <x:c r="B84" s="7" t="str">
        <x:f t="array" ref="B84:B84">IFERROR(INDEX(창고검색범위,SMALL(IF((찾을값=창고검색),MATCH(ROW(창고검색),ROW(창고검색)),""),ROWS($A$1:A83)),COLUMNS($A$1:A83)),"")</x:f>
        <x:v/>
      </x:c>
      <x:c r="C84" s="7" t="str">
        <x:f t="array" ref="C84:C84">IFERROR(INDEX(창고검색범위,SMALL(IF((찾을값=창고검색),MATCH(ROW(창고검색),ROW(창고검색)),""),ROWS($A$1:B83)),COLUMNS($A$1:B83)),"")</x:f>
        <x:v/>
      </x:c>
      <x:c r="D84" s="7" t="str">
        <x:f t="array" ref="D84:D84">IFERROR(INDEX(창고검색범위,SMALL(IF((찾을값=창고검색),MATCH(ROW(창고검색),ROW(창고검색)),""),ROWS($A$1:C83)),COLUMNS($A$1:C83)),"")</x:f>
        <x:v/>
      </x:c>
      <x:c r="E84" s="7" t="str">
        <x:f t="array" ref="E84:E84">IFERROR(INDEX(창고검색범위,SMALL(IF((찾을값=창고검색),MATCH(ROW(창고검색),ROW(창고검색)),""),ROWS($A$1:D83)),COLUMNS($A$1:D83)),"")</x:f>
        <x:v/>
      </x:c>
      <x:c r="F84" s="7" t="str">
        <x:f t="array" ref="F84:F84">IFERROR(INDEX(창고검색범위,SMALL(IF((찾을값=창고검색),MATCH(ROW(창고검색),ROW(창고검색)),""),ROWS($A$1:E83)),COLUMNS($A$1:E83)),"")</x:f>
        <x:v/>
      </x:c>
      <x:c r="G84" s="7" t="str">
        <x:f t="array" ref="G84:G84">IFERROR(INDEX(창고검색범위,SMALL(IF((찾을값=창고검색),MATCH(ROW(창고검색),ROW(창고검색)),""),ROWS($A$1:F83)),COLUMNS($A$1:F83)),"")</x:f>
        <x:v/>
      </x:c>
      <x:c r="H84" s="7" t="str">
        <x:f t="array" ref="H84:H84">IFERROR(INDEX(창고검색범위,SMALL(IF((찾을값=창고검색),MATCH(ROW(창고검색),ROW(창고검색)),""),ROWS($A$1:G83)),COLUMNS($A$1:G83)),"")</x:f>
        <x:v/>
      </x:c>
      <x:c r="I84" s="119" t="str">
        <x:f t="array" ref="I84:I84">IFERROR(INDEX(창고검색범위,SMALL(IF((찾을값=창고검색),MATCH(ROW(창고검색),ROW(창고검색)),""),ROWS($A$1:H83)),COLUMNS($A$1:H83)),"")</x:f>
        <x:v/>
      </x:c>
      <x:c r="J84" s="120" t="str">
        <x:f t="array" ref="J84:J84">IFERROR(INDEX(창고검색범위,SMALL(IF((찾을값=창고검색),MATCH(ROW(창고검색),ROW(창고검색)),""),ROWS($A$1:I83)),COLUMNS($A$1:I83)),"")</x:f>
        <x:v/>
      </x:c>
    </x:row>
    <x:row r="85" spans="1:10">
      <x:c r="A85" s="173"/>
      <x:c r="B85" s="8" t="str">
        <x:f t="array" ref="B85:B85">IFERROR(INDEX(창고검색범위,SMALL(IF((찾을값=창고검색),MATCH(ROW(창고검색),ROW(창고검색)),""),ROWS($A$1:A84)),COLUMNS($A$1:A84)),"")</x:f>
        <x:v/>
      </x:c>
      <x:c r="C85" s="8" t="str">
        <x:f t="array" ref="C85:C85">IFERROR(INDEX(창고검색범위,SMALL(IF((찾을값=창고검색),MATCH(ROW(창고검색),ROW(창고검색)),""),ROWS($A$1:B84)),COLUMNS($A$1:B84)),"")</x:f>
        <x:v/>
      </x:c>
      <x:c r="D85" s="8" t="str">
        <x:f t="array" ref="D85:D85">IFERROR(INDEX(창고검색범위,SMALL(IF((찾을값=창고검색),MATCH(ROW(창고검색),ROW(창고검색)),""),ROWS($A$1:C84)),COLUMNS($A$1:C84)),"")</x:f>
        <x:v/>
      </x:c>
      <x:c r="E85" s="8" t="str">
        <x:f t="array" ref="E85:E85">IFERROR(INDEX(창고검색범위,SMALL(IF((찾을값=창고검색),MATCH(ROW(창고검색),ROW(창고검색)),""),ROWS($A$1:D84)),COLUMNS($A$1:D84)),"")</x:f>
        <x:v/>
      </x:c>
      <x:c r="F85" s="8" t="str">
        <x:f t="array" ref="F85:F85">IFERROR(INDEX(창고검색범위,SMALL(IF((찾을값=창고검색),MATCH(ROW(창고검색),ROW(창고검색)),""),ROWS($A$1:E84)),COLUMNS($A$1:E84)),"")</x:f>
        <x:v/>
      </x:c>
      <x:c r="G85" s="8" t="str">
        <x:f t="array" ref="G85:G85">IFERROR(INDEX(창고검색범위,SMALL(IF((찾을값=창고검색),MATCH(ROW(창고검색),ROW(창고검색)),""),ROWS($A$1:F84)),COLUMNS($A$1:F84)),"")</x:f>
        <x:v/>
      </x:c>
      <x:c r="H85" s="8" t="str">
        <x:f t="array" ref="H85:H85">IFERROR(INDEX(창고검색범위,SMALL(IF((찾을값=창고검색),MATCH(ROW(창고검색),ROW(창고검색)),""),ROWS($A$1:G84)),COLUMNS($A$1:G84)),"")</x:f>
        <x:v/>
      </x:c>
      <x:c r="I85" s="117" t="str">
        <x:f t="array" ref="I85:I85">IFERROR(INDEX(창고검색범위,SMALL(IF((찾을값=창고검색),MATCH(ROW(창고검색),ROW(창고검색)),""),ROWS($A$1:H84)),COLUMNS($A$1:H84)),"")</x:f>
        <x:v/>
      </x:c>
      <x:c r="J85" s="118" t="str">
        <x:f t="array" ref="J85:J85">IFERROR(INDEX(창고검색범위,SMALL(IF((찾을값=창고검색),MATCH(ROW(창고검색),ROW(창고검색)),""),ROWS($A$1:I84)),COLUMNS($A$1:I84)),"")</x:f>
        <x:v/>
      </x:c>
    </x:row>
    <x:row r="86" spans="1:10">
      <x:c r="A86" s="172"/>
      <x:c r="B86" s="7" t="str">
        <x:f t="array" ref="B86:B86">IFERROR(INDEX(창고검색범위,SMALL(IF((찾을값=창고검색),MATCH(ROW(창고검색),ROW(창고검색)),""),ROWS($A$1:A85)),COLUMNS($A$1:A85)),"")</x:f>
        <x:v/>
      </x:c>
      <x:c r="C86" s="7" t="str">
        <x:f t="array" ref="C86:C86">IFERROR(INDEX(창고검색범위,SMALL(IF((찾을값=창고검색),MATCH(ROW(창고검색),ROW(창고검색)),""),ROWS($A$1:B85)),COLUMNS($A$1:B85)),"")</x:f>
        <x:v/>
      </x:c>
      <x:c r="D86" s="7" t="str">
        <x:f t="array" ref="D86:D86">IFERROR(INDEX(창고검색범위,SMALL(IF((찾을값=창고검색),MATCH(ROW(창고검색),ROW(창고검색)),""),ROWS($A$1:C85)),COLUMNS($A$1:C85)),"")</x:f>
        <x:v/>
      </x:c>
      <x:c r="E86" s="7" t="str">
        <x:f t="array" ref="E86:E86">IFERROR(INDEX(창고검색범위,SMALL(IF((찾을값=창고검색),MATCH(ROW(창고검색),ROW(창고검색)),""),ROWS($A$1:D85)),COLUMNS($A$1:D85)),"")</x:f>
        <x:v/>
      </x:c>
      <x:c r="F86" s="7" t="str">
        <x:f t="array" ref="F86:F86">IFERROR(INDEX(창고검색범위,SMALL(IF((찾을값=창고검색),MATCH(ROW(창고검색),ROW(창고검색)),""),ROWS($A$1:E85)),COLUMNS($A$1:E85)),"")</x:f>
        <x:v/>
      </x:c>
      <x:c r="G86" s="7" t="str">
        <x:f t="array" ref="G86:G86">IFERROR(INDEX(창고검색범위,SMALL(IF((찾을값=창고검색),MATCH(ROW(창고검색),ROW(창고검색)),""),ROWS($A$1:F85)),COLUMNS($A$1:F85)),"")</x:f>
        <x:v/>
      </x:c>
      <x:c r="H86" s="7" t="str">
        <x:f t="array" ref="H86:H86">IFERROR(INDEX(창고검색범위,SMALL(IF((찾을값=창고검색),MATCH(ROW(창고검색),ROW(창고검색)),""),ROWS($A$1:G85)),COLUMNS($A$1:G85)),"")</x:f>
        <x:v/>
      </x:c>
      <x:c r="I86" s="119" t="str">
        <x:f t="array" ref="I86:I86">IFERROR(INDEX(창고검색범위,SMALL(IF((찾을값=창고검색),MATCH(ROW(창고검색),ROW(창고검색)),""),ROWS($A$1:H85)),COLUMNS($A$1:H85)),"")</x:f>
        <x:v/>
      </x:c>
      <x:c r="J86" s="120" t="str">
        <x:f t="array" ref="J86:J86">IFERROR(INDEX(창고검색범위,SMALL(IF((찾을값=창고검색),MATCH(ROW(창고검색),ROW(창고검색)),""),ROWS($A$1:I85)),COLUMNS($A$1:I85)),"")</x:f>
        <x:v/>
      </x:c>
    </x:row>
    <x:row r="87" spans="1:10">
      <x:c r="A87" s="173"/>
      <x:c r="B87" s="8" t="str">
        <x:f t="array" ref="B87:B87">IFERROR(INDEX(창고검색범위,SMALL(IF((찾을값=창고검색),MATCH(ROW(창고검색),ROW(창고검색)),""),ROWS($A$1:A86)),COLUMNS($A$1:A86)),"")</x:f>
        <x:v/>
      </x:c>
      <x:c r="C87" s="8" t="str">
        <x:f t="array" ref="C87:C87">IFERROR(INDEX(창고검색범위,SMALL(IF((찾을값=창고검색),MATCH(ROW(창고검색),ROW(창고검색)),""),ROWS($A$1:B86)),COLUMNS($A$1:B86)),"")</x:f>
        <x:v/>
      </x:c>
      <x:c r="D87" s="8" t="str">
        <x:f t="array" ref="D87:D87">IFERROR(INDEX(창고검색범위,SMALL(IF((찾을값=창고검색),MATCH(ROW(창고검색),ROW(창고검색)),""),ROWS($A$1:C86)),COLUMNS($A$1:C86)),"")</x:f>
        <x:v/>
      </x:c>
      <x:c r="E87" s="8" t="str">
        <x:f t="array" ref="E87:E87">IFERROR(INDEX(창고검색범위,SMALL(IF((찾을값=창고검색),MATCH(ROW(창고검색),ROW(창고검색)),""),ROWS($A$1:D86)),COLUMNS($A$1:D86)),"")</x:f>
        <x:v/>
      </x:c>
      <x:c r="F87" s="8" t="str">
        <x:f t="array" ref="F87:F87">IFERROR(INDEX(창고검색범위,SMALL(IF((찾을값=창고검색),MATCH(ROW(창고검색),ROW(창고검색)),""),ROWS($A$1:E86)),COLUMNS($A$1:E86)),"")</x:f>
        <x:v/>
      </x:c>
      <x:c r="G87" s="8" t="str">
        <x:f t="array" ref="G87:G87">IFERROR(INDEX(창고검색범위,SMALL(IF((찾을값=창고검색),MATCH(ROW(창고검색),ROW(창고검색)),""),ROWS($A$1:F86)),COLUMNS($A$1:F86)),"")</x:f>
        <x:v/>
      </x:c>
      <x:c r="H87" s="8" t="str">
        <x:f t="array" ref="H87:H87">IFERROR(INDEX(창고검색범위,SMALL(IF((찾을값=창고검색),MATCH(ROW(창고검색),ROW(창고검색)),""),ROWS($A$1:G86)),COLUMNS($A$1:G86)),"")</x:f>
        <x:v/>
      </x:c>
      <x:c r="I87" s="117" t="str">
        <x:f t="array" ref="I87:I87">IFERROR(INDEX(창고검색범위,SMALL(IF((찾을값=창고검색),MATCH(ROW(창고검색),ROW(창고검색)),""),ROWS($A$1:H86)),COLUMNS($A$1:H86)),"")</x:f>
        <x:v/>
      </x:c>
      <x:c r="J87" s="118" t="str">
        <x:f t="array" ref="J87:J87">IFERROR(INDEX(창고검색범위,SMALL(IF((찾을값=창고검색),MATCH(ROW(창고검색),ROW(창고검색)),""),ROWS($A$1:I86)),COLUMNS($A$1:I86)),"")</x:f>
        <x:v/>
      </x:c>
    </x:row>
    <x:row r="88" spans="1:10">
      <x:c r="A88" s="172"/>
      <x:c r="B88" s="7" t="str">
        <x:f t="array" ref="B88:B88">IFERROR(INDEX(창고검색범위,SMALL(IF((찾을값=창고검색),MATCH(ROW(창고검색),ROW(창고검색)),""),ROWS($A$1:A87)),COLUMNS($A$1:A87)),"")</x:f>
        <x:v/>
      </x:c>
      <x:c r="C88" s="7" t="str">
        <x:f t="array" ref="C88:C88">IFERROR(INDEX(창고검색범위,SMALL(IF((찾을값=창고검색),MATCH(ROW(창고검색),ROW(창고검색)),""),ROWS($A$1:B87)),COLUMNS($A$1:B87)),"")</x:f>
        <x:v/>
      </x:c>
      <x:c r="D88" s="7" t="str">
        <x:f t="array" ref="D88:D88">IFERROR(INDEX(창고검색범위,SMALL(IF((찾을값=창고검색),MATCH(ROW(창고검색),ROW(창고검색)),""),ROWS($A$1:C87)),COLUMNS($A$1:C87)),"")</x:f>
        <x:v/>
      </x:c>
      <x:c r="E88" s="7" t="str">
        <x:f t="array" ref="E88:E88">IFERROR(INDEX(창고검색범위,SMALL(IF((찾을값=창고검색),MATCH(ROW(창고검색),ROW(창고검색)),""),ROWS($A$1:D87)),COLUMNS($A$1:D87)),"")</x:f>
        <x:v/>
      </x:c>
      <x:c r="F88" s="7" t="str">
        <x:f t="array" ref="F88:F88">IFERROR(INDEX(창고검색범위,SMALL(IF((찾을값=창고검색),MATCH(ROW(창고검색),ROW(창고검색)),""),ROWS($A$1:E87)),COLUMNS($A$1:E87)),"")</x:f>
        <x:v/>
      </x:c>
      <x:c r="G88" s="7" t="str">
        <x:f t="array" ref="G88:G88">IFERROR(INDEX(창고검색범위,SMALL(IF((찾을값=창고검색),MATCH(ROW(창고검색),ROW(창고검색)),""),ROWS($A$1:F87)),COLUMNS($A$1:F87)),"")</x:f>
        <x:v/>
      </x:c>
      <x:c r="H88" s="7" t="str">
        <x:f t="array" ref="H88:H88">IFERROR(INDEX(창고검색범위,SMALL(IF((찾을값=창고검색),MATCH(ROW(창고검색),ROW(창고검색)),""),ROWS($A$1:G87)),COLUMNS($A$1:G87)),"")</x:f>
        <x:v/>
      </x:c>
      <x:c r="I88" s="119" t="str">
        <x:f t="array" ref="I88:I88">IFERROR(INDEX(창고검색범위,SMALL(IF((찾을값=창고검색),MATCH(ROW(창고검색),ROW(창고검색)),""),ROWS($A$1:H87)),COLUMNS($A$1:H87)),"")</x:f>
        <x:v/>
      </x:c>
      <x:c r="J88" s="120" t="str">
        <x:f t="array" ref="J88:J88">IFERROR(INDEX(창고검색범위,SMALL(IF((찾을값=창고검색),MATCH(ROW(창고검색),ROW(창고검색)),""),ROWS($A$1:I87)),COLUMNS($A$1:I87)),"")</x:f>
        <x:v/>
      </x:c>
    </x:row>
    <x:row r="89" spans="1:10">
      <x:c r="A89" s="173"/>
      <x:c r="B89" s="8" t="str">
        <x:f t="array" ref="B89:B89">IFERROR(INDEX(창고검색범위,SMALL(IF((찾을값=창고검색),MATCH(ROW(창고검색),ROW(창고검색)),""),ROWS($A$1:A88)),COLUMNS($A$1:A88)),"")</x:f>
        <x:v/>
      </x:c>
      <x:c r="C89" s="8" t="str">
        <x:f t="array" ref="C89:C89">IFERROR(INDEX(창고검색범위,SMALL(IF((찾을값=창고검색),MATCH(ROW(창고검색),ROW(창고검색)),""),ROWS($A$1:B88)),COLUMNS($A$1:B88)),"")</x:f>
        <x:v/>
      </x:c>
      <x:c r="D89" s="8" t="str">
        <x:f t="array" ref="D89:D89">IFERROR(INDEX(창고검색범위,SMALL(IF((찾을값=창고검색),MATCH(ROW(창고검색),ROW(창고검색)),""),ROWS($A$1:C88)),COLUMNS($A$1:C88)),"")</x:f>
        <x:v/>
      </x:c>
      <x:c r="E89" s="8" t="str">
        <x:f t="array" ref="E89:E89">IFERROR(INDEX(창고검색범위,SMALL(IF((찾을값=창고검색),MATCH(ROW(창고검색),ROW(창고검색)),""),ROWS($A$1:D88)),COLUMNS($A$1:D88)),"")</x:f>
        <x:v/>
      </x:c>
      <x:c r="F89" s="8" t="str">
        <x:f t="array" ref="F89:F89">IFERROR(INDEX(창고검색범위,SMALL(IF((찾을값=창고검색),MATCH(ROW(창고검색),ROW(창고검색)),""),ROWS($A$1:E88)),COLUMNS($A$1:E88)),"")</x:f>
        <x:v/>
      </x:c>
      <x:c r="G89" s="8" t="str">
        <x:f t="array" ref="G89:G89">IFERROR(INDEX(창고검색범위,SMALL(IF((찾을값=창고검색),MATCH(ROW(창고검색),ROW(창고검색)),""),ROWS($A$1:F88)),COLUMNS($A$1:F88)),"")</x:f>
        <x:v/>
      </x:c>
      <x:c r="H89" s="8" t="str">
        <x:f t="array" ref="H89:H89">IFERROR(INDEX(창고검색범위,SMALL(IF((찾을값=창고검색),MATCH(ROW(창고검색),ROW(창고검색)),""),ROWS($A$1:G88)),COLUMNS($A$1:G88)),"")</x:f>
        <x:v/>
      </x:c>
      <x:c r="I89" s="117" t="str">
        <x:f t="array" ref="I89:I89">IFERROR(INDEX(창고검색범위,SMALL(IF((찾을값=창고검색),MATCH(ROW(창고검색),ROW(창고검색)),""),ROWS($A$1:H88)),COLUMNS($A$1:H88)),"")</x:f>
        <x:v/>
      </x:c>
      <x:c r="J89" s="118" t="str">
        <x:f t="array" ref="J89:J89">IFERROR(INDEX(창고검색범위,SMALL(IF((찾을값=창고검색),MATCH(ROW(창고검색),ROW(창고검색)),""),ROWS($A$1:I88)),COLUMNS($A$1:I88)),"")</x:f>
        <x:v/>
      </x:c>
    </x:row>
    <x:row r="90" spans="1:10">
      <x:c r="A90" s="172"/>
      <x:c r="B90" s="7" t="str">
        <x:f t="array" ref="B90:B90">IFERROR(INDEX(창고검색범위,SMALL(IF((찾을값=창고검색),MATCH(ROW(창고검색),ROW(창고검색)),""),ROWS($A$1:A89)),COLUMNS($A$1:A89)),"")</x:f>
        <x:v/>
      </x:c>
      <x:c r="C90" s="7" t="str">
        <x:f t="array" ref="C90:C90">IFERROR(INDEX(창고검색범위,SMALL(IF((찾을값=창고검색),MATCH(ROW(창고검색),ROW(창고검색)),""),ROWS($A$1:B89)),COLUMNS($A$1:B89)),"")</x:f>
        <x:v/>
      </x:c>
      <x:c r="D90" s="7" t="str">
        <x:f t="array" ref="D90:D90">IFERROR(INDEX(창고검색범위,SMALL(IF((찾을값=창고검색),MATCH(ROW(창고검색),ROW(창고검색)),""),ROWS($A$1:C89)),COLUMNS($A$1:C89)),"")</x:f>
        <x:v/>
      </x:c>
      <x:c r="E90" s="7" t="str">
        <x:f t="array" ref="E90:E90">IFERROR(INDEX(창고검색범위,SMALL(IF((찾을값=창고검색),MATCH(ROW(창고검색),ROW(창고검색)),""),ROWS($A$1:D89)),COLUMNS($A$1:D89)),"")</x:f>
        <x:v/>
      </x:c>
      <x:c r="F90" s="7" t="str">
        <x:f t="array" ref="F90:F90">IFERROR(INDEX(창고검색범위,SMALL(IF((찾을값=창고검색),MATCH(ROW(창고검색),ROW(창고검색)),""),ROWS($A$1:E89)),COLUMNS($A$1:E89)),"")</x:f>
        <x:v/>
      </x:c>
      <x:c r="G90" s="7" t="str">
        <x:f t="array" ref="G90:G90">IFERROR(INDEX(창고검색범위,SMALL(IF((찾을값=창고검색),MATCH(ROW(창고검색),ROW(창고검색)),""),ROWS($A$1:F89)),COLUMNS($A$1:F89)),"")</x:f>
        <x:v/>
      </x:c>
      <x:c r="H90" s="7" t="str">
        <x:f t="array" ref="H90:H90">IFERROR(INDEX(창고검색범위,SMALL(IF((찾을값=창고검색),MATCH(ROW(창고검색),ROW(창고검색)),""),ROWS($A$1:G89)),COLUMNS($A$1:G89)),"")</x:f>
        <x:v/>
      </x:c>
      <x:c r="I90" s="119" t="str">
        <x:f t="array" ref="I90:I90">IFERROR(INDEX(창고검색범위,SMALL(IF((찾을값=창고검색),MATCH(ROW(창고검색),ROW(창고검색)),""),ROWS($A$1:H89)),COLUMNS($A$1:H89)),"")</x:f>
        <x:v/>
      </x:c>
      <x:c r="J90" s="120" t="str">
        <x:f t="array" ref="J90:J90">IFERROR(INDEX(창고검색범위,SMALL(IF((찾을값=창고검색),MATCH(ROW(창고검색),ROW(창고검색)),""),ROWS($A$1:I89)),COLUMNS($A$1:I89)),"")</x:f>
        <x:v/>
      </x:c>
    </x:row>
    <x:row r="91" spans="1:10">
      <x:c r="A91" s="173"/>
      <x:c r="B91" s="8" t="str">
        <x:f t="array" ref="B91:B91">IFERROR(INDEX(창고검색범위,SMALL(IF((찾을값=창고검색),MATCH(ROW(창고검색),ROW(창고검색)),""),ROWS($A$1:A90)),COLUMNS($A$1:A90)),"")</x:f>
        <x:v/>
      </x:c>
      <x:c r="C91" s="8" t="str">
        <x:f t="array" ref="C91:C91">IFERROR(INDEX(창고검색범위,SMALL(IF((찾을값=창고검색),MATCH(ROW(창고검색),ROW(창고검색)),""),ROWS($A$1:B90)),COLUMNS($A$1:B90)),"")</x:f>
        <x:v/>
      </x:c>
      <x:c r="D91" s="8" t="str">
        <x:f t="array" ref="D91:D91">IFERROR(INDEX(창고검색범위,SMALL(IF((찾을값=창고검색),MATCH(ROW(창고검색),ROW(창고검색)),""),ROWS($A$1:C90)),COLUMNS($A$1:C90)),"")</x:f>
        <x:v/>
      </x:c>
      <x:c r="E91" s="8" t="str">
        <x:f t="array" ref="E91:E91">IFERROR(INDEX(창고검색범위,SMALL(IF((찾을값=창고검색),MATCH(ROW(창고검색),ROW(창고검색)),""),ROWS($A$1:D90)),COLUMNS($A$1:D90)),"")</x:f>
        <x:v/>
      </x:c>
      <x:c r="F91" s="8" t="str">
        <x:f t="array" ref="F91:F91">IFERROR(INDEX(창고검색범위,SMALL(IF((찾을값=창고검색),MATCH(ROW(창고검색),ROW(창고검색)),""),ROWS($A$1:E90)),COLUMNS($A$1:E90)),"")</x:f>
        <x:v/>
      </x:c>
      <x:c r="G91" s="8" t="str">
        <x:f t="array" ref="G91:G91">IFERROR(INDEX(창고검색범위,SMALL(IF((찾을값=창고검색),MATCH(ROW(창고검색),ROW(창고검색)),""),ROWS($A$1:F90)),COLUMNS($A$1:F90)),"")</x:f>
        <x:v/>
      </x:c>
      <x:c r="H91" s="8" t="str">
        <x:f t="array" ref="H91:H91">IFERROR(INDEX(창고검색범위,SMALL(IF((찾을값=창고검색),MATCH(ROW(창고검색),ROW(창고검색)),""),ROWS($A$1:G90)),COLUMNS($A$1:G90)),"")</x:f>
        <x:v/>
      </x:c>
      <x:c r="I91" s="117" t="str">
        <x:f t="array" ref="I91:I91">IFERROR(INDEX(창고검색범위,SMALL(IF((찾을값=창고검색),MATCH(ROW(창고검색),ROW(창고검색)),""),ROWS($A$1:H90)),COLUMNS($A$1:H90)),"")</x:f>
        <x:v/>
      </x:c>
      <x:c r="J91" s="118" t="str">
        <x:f t="array" ref="J91:J91">IFERROR(INDEX(창고검색범위,SMALL(IF((찾을값=창고검색),MATCH(ROW(창고검색),ROW(창고검색)),""),ROWS($A$1:I90)),COLUMNS($A$1:I90)),"")</x:f>
        <x:v/>
      </x:c>
    </x:row>
    <x:row r="92" spans="1:10">
      <x:c r="A92" s="172"/>
      <x:c r="B92" s="7" t="str">
        <x:f t="array" ref="B92:B92">IFERROR(INDEX(창고검색범위,SMALL(IF((찾을값=창고검색),MATCH(ROW(창고검색),ROW(창고검색)),""),ROWS($A$1:A91)),COLUMNS($A$1:A91)),"")</x:f>
        <x:v/>
      </x:c>
      <x:c r="C92" s="7" t="str">
        <x:f t="array" ref="C92:C92">IFERROR(INDEX(창고검색범위,SMALL(IF((찾을값=창고검색),MATCH(ROW(창고검색),ROW(창고검색)),""),ROWS($A$1:B91)),COLUMNS($A$1:B91)),"")</x:f>
        <x:v/>
      </x:c>
      <x:c r="D92" s="7" t="str">
        <x:f t="array" ref="D92:D92">IFERROR(INDEX(창고검색범위,SMALL(IF((찾을값=창고검색),MATCH(ROW(창고검색),ROW(창고검색)),""),ROWS($A$1:C91)),COLUMNS($A$1:C91)),"")</x:f>
        <x:v/>
      </x:c>
      <x:c r="E92" s="7" t="str">
        <x:f t="array" ref="E92:E92">IFERROR(INDEX(창고검색범위,SMALL(IF((찾을값=창고검색),MATCH(ROW(창고검색),ROW(창고검색)),""),ROWS($A$1:D91)),COLUMNS($A$1:D91)),"")</x:f>
        <x:v/>
      </x:c>
      <x:c r="F92" s="7" t="str">
        <x:f t="array" ref="F92:F92">IFERROR(INDEX(창고검색범위,SMALL(IF((찾을값=창고검색),MATCH(ROW(창고검색),ROW(창고검색)),""),ROWS($A$1:E91)),COLUMNS($A$1:E91)),"")</x:f>
        <x:v/>
      </x:c>
      <x:c r="G92" s="7" t="str">
        <x:f t="array" ref="G92:G92">IFERROR(INDEX(창고검색범위,SMALL(IF((찾을값=창고검색),MATCH(ROW(창고검색),ROW(창고검색)),""),ROWS($A$1:F91)),COLUMNS($A$1:F91)),"")</x:f>
        <x:v/>
      </x:c>
      <x:c r="H92" s="7" t="str">
        <x:f t="array" ref="H92:H92">IFERROR(INDEX(창고검색범위,SMALL(IF((찾을값=창고검색),MATCH(ROW(창고검색),ROW(창고검색)),""),ROWS($A$1:G91)),COLUMNS($A$1:G91)),"")</x:f>
        <x:v/>
      </x:c>
      <x:c r="I92" s="119" t="str">
        <x:f t="array" ref="I92:I92">IFERROR(INDEX(창고검색범위,SMALL(IF((찾을값=창고검색),MATCH(ROW(창고검색),ROW(창고검색)),""),ROWS($A$1:H91)),COLUMNS($A$1:H91)),"")</x:f>
        <x:v/>
      </x:c>
      <x:c r="J92" s="120" t="str">
        <x:f t="array" ref="J92:J92">IFERROR(INDEX(창고검색범위,SMALL(IF((찾을값=창고검색),MATCH(ROW(창고검색),ROW(창고검색)),""),ROWS($A$1:I91)),COLUMNS($A$1:I91)),"")</x:f>
        <x:v/>
      </x:c>
    </x:row>
    <x:row r="93" spans="1:10">
      <x:c r="A93" s="173"/>
      <x:c r="B93" s="8" t="str">
        <x:f t="array" ref="B93:B93">IFERROR(INDEX(창고검색범위,SMALL(IF((찾을값=창고검색),MATCH(ROW(창고검색),ROW(창고검색)),""),ROWS($A$1:A92)),COLUMNS($A$1:A92)),"")</x:f>
        <x:v/>
      </x:c>
      <x:c r="C93" s="8" t="str">
        <x:f t="array" ref="C93:C93">IFERROR(INDEX(창고검색범위,SMALL(IF((찾을값=창고검색),MATCH(ROW(창고검색),ROW(창고검색)),""),ROWS($A$1:B92)),COLUMNS($A$1:B92)),"")</x:f>
        <x:v/>
      </x:c>
      <x:c r="D93" s="8" t="str">
        <x:f t="array" ref="D93:D93">IFERROR(INDEX(창고검색범위,SMALL(IF((찾을값=창고검색),MATCH(ROW(창고검색),ROW(창고검색)),""),ROWS($A$1:C92)),COLUMNS($A$1:C92)),"")</x:f>
        <x:v/>
      </x:c>
      <x:c r="E93" s="8" t="str">
        <x:f t="array" ref="E93:E93">IFERROR(INDEX(창고검색범위,SMALL(IF((찾을값=창고검색),MATCH(ROW(창고검색),ROW(창고검색)),""),ROWS($A$1:D92)),COLUMNS($A$1:D92)),"")</x:f>
        <x:v/>
      </x:c>
      <x:c r="F93" s="8" t="str">
        <x:f t="array" ref="F93:F93">IFERROR(INDEX(창고검색범위,SMALL(IF((찾을값=창고검색),MATCH(ROW(창고검색),ROW(창고검색)),""),ROWS($A$1:E92)),COLUMNS($A$1:E92)),"")</x:f>
        <x:v/>
      </x:c>
      <x:c r="G93" s="8" t="str">
        <x:f t="array" ref="G93:G93">IFERROR(INDEX(창고검색범위,SMALL(IF((찾을값=창고검색),MATCH(ROW(창고검색),ROW(창고검색)),""),ROWS($A$1:F92)),COLUMNS($A$1:F92)),"")</x:f>
        <x:v/>
      </x:c>
      <x:c r="H93" s="8" t="str">
        <x:f t="array" ref="H93:H93">IFERROR(INDEX(창고검색범위,SMALL(IF((찾을값=창고검색),MATCH(ROW(창고검색),ROW(창고검색)),""),ROWS($A$1:G92)),COLUMNS($A$1:G92)),"")</x:f>
        <x:v/>
      </x:c>
      <x:c r="I93" s="117" t="str">
        <x:f t="array" ref="I93:I93">IFERROR(INDEX(창고검색범위,SMALL(IF((찾을값=창고검색),MATCH(ROW(창고검색),ROW(창고검색)),""),ROWS($A$1:H92)),COLUMNS($A$1:H92)),"")</x:f>
        <x:v/>
      </x:c>
      <x:c r="J93" s="118" t="str">
        <x:f t="array" ref="J93:J93">IFERROR(INDEX(창고검색범위,SMALL(IF((찾을값=창고검색),MATCH(ROW(창고검색),ROW(창고검색)),""),ROWS($A$1:I92)),COLUMNS($A$1:I92)),"")</x:f>
        <x:v/>
      </x:c>
    </x:row>
    <x:row r="94" spans="1:10">
      <x:c r="A94" s="172"/>
      <x:c r="B94" s="7" t="str">
        <x:f t="array" ref="B94:B94">IFERROR(INDEX(창고검색범위,SMALL(IF((찾을값=창고검색),MATCH(ROW(창고검색),ROW(창고검색)),""),ROWS($A$1:A93)),COLUMNS($A$1:A93)),"")</x:f>
        <x:v/>
      </x:c>
      <x:c r="C94" s="7" t="str">
        <x:f t="array" ref="C94:C94">IFERROR(INDEX(창고검색범위,SMALL(IF((찾을값=창고검색),MATCH(ROW(창고검색),ROW(창고검색)),""),ROWS($A$1:B93)),COLUMNS($A$1:B93)),"")</x:f>
        <x:v/>
      </x:c>
      <x:c r="D94" s="7" t="str">
        <x:f t="array" ref="D94:D94">IFERROR(INDEX(창고검색범위,SMALL(IF((찾을값=창고검색),MATCH(ROW(창고검색),ROW(창고검색)),""),ROWS($A$1:C93)),COLUMNS($A$1:C93)),"")</x:f>
        <x:v/>
      </x:c>
      <x:c r="E94" s="7" t="str">
        <x:f t="array" ref="E94:E94">IFERROR(INDEX(창고검색범위,SMALL(IF((찾을값=창고검색),MATCH(ROW(창고검색),ROW(창고검색)),""),ROWS($A$1:D93)),COLUMNS($A$1:D93)),"")</x:f>
        <x:v/>
      </x:c>
      <x:c r="F94" s="7" t="str">
        <x:f t="array" ref="F94:F94">IFERROR(INDEX(창고검색범위,SMALL(IF((찾을값=창고검색),MATCH(ROW(창고검색),ROW(창고검색)),""),ROWS($A$1:E93)),COLUMNS($A$1:E93)),"")</x:f>
        <x:v/>
      </x:c>
      <x:c r="G94" s="7" t="str">
        <x:f t="array" ref="G94:G94">IFERROR(INDEX(창고검색범위,SMALL(IF((찾을값=창고검색),MATCH(ROW(창고검색),ROW(창고검색)),""),ROWS($A$1:F93)),COLUMNS($A$1:F93)),"")</x:f>
        <x:v/>
      </x:c>
      <x:c r="H94" s="7" t="str">
        <x:f t="array" ref="H94:H94">IFERROR(INDEX(창고검색범위,SMALL(IF((찾을값=창고검색),MATCH(ROW(창고검색),ROW(창고검색)),""),ROWS($A$1:G93)),COLUMNS($A$1:G93)),"")</x:f>
        <x:v/>
      </x:c>
      <x:c r="I94" s="119" t="str">
        <x:f t="array" ref="I94:I94">IFERROR(INDEX(창고검색범위,SMALL(IF((찾을값=창고검색),MATCH(ROW(창고검색),ROW(창고검색)),""),ROWS($A$1:H93)),COLUMNS($A$1:H93)),"")</x:f>
        <x:v/>
      </x:c>
      <x:c r="J94" s="120" t="str">
        <x:f t="array" ref="J94:J94">IFERROR(INDEX(창고검색범위,SMALL(IF((찾을값=창고검색),MATCH(ROW(창고검색),ROW(창고검색)),""),ROWS($A$1:I93)),COLUMNS($A$1:I93)),"")</x:f>
        <x:v/>
      </x:c>
    </x:row>
    <x:row r="95" spans="1:10">
      <x:c r="A95" s="173"/>
      <x:c r="B95" s="8" t="str">
        <x:f t="array" ref="B95:B95">IFERROR(INDEX(창고검색범위,SMALL(IF((찾을값=창고검색),MATCH(ROW(창고검색),ROW(창고검색)),""),ROWS($A$1:A94)),COLUMNS($A$1:A94)),"")</x:f>
        <x:v/>
      </x:c>
      <x:c r="C95" s="8" t="str">
        <x:f t="array" ref="C95:C95">IFERROR(INDEX(창고검색범위,SMALL(IF((찾을값=창고검색),MATCH(ROW(창고검색),ROW(창고검색)),""),ROWS($A$1:B94)),COLUMNS($A$1:B94)),"")</x:f>
        <x:v/>
      </x:c>
      <x:c r="D95" s="8" t="str">
        <x:f t="array" ref="D95:D95">IFERROR(INDEX(창고검색범위,SMALL(IF((찾을값=창고검색),MATCH(ROW(창고검색),ROW(창고검색)),""),ROWS($A$1:C94)),COLUMNS($A$1:C94)),"")</x:f>
        <x:v/>
      </x:c>
      <x:c r="E95" s="8" t="str">
        <x:f t="array" ref="E95:E95">IFERROR(INDEX(창고검색범위,SMALL(IF((찾을값=창고검색),MATCH(ROW(창고검색),ROW(창고검색)),""),ROWS($A$1:D94)),COLUMNS($A$1:D94)),"")</x:f>
        <x:v/>
      </x:c>
      <x:c r="F95" s="8" t="str">
        <x:f t="array" ref="F95:F95">IFERROR(INDEX(창고검색범위,SMALL(IF((찾을값=창고검색),MATCH(ROW(창고검색),ROW(창고검색)),""),ROWS($A$1:E94)),COLUMNS($A$1:E94)),"")</x:f>
        <x:v/>
      </x:c>
      <x:c r="G95" s="8" t="str">
        <x:f t="array" ref="G95:G95">IFERROR(INDEX(창고검색범위,SMALL(IF((찾을값=창고검색),MATCH(ROW(창고검색),ROW(창고검색)),""),ROWS($A$1:F94)),COLUMNS($A$1:F94)),"")</x:f>
        <x:v/>
      </x:c>
      <x:c r="H95" s="8" t="str">
        <x:f t="array" ref="H95:H95">IFERROR(INDEX(창고검색범위,SMALL(IF((찾을값=창고검색),MATCH(ROW(창고검색),ROW(창고검색)),""),ROWS($A$1:G94)),COLUMNS($A$1:G94)),"")</x:f>
        <x:v/>
      </x:c>
      <x:c r="I95" s="117" t="str">
        <x:f t="array" ref="I95:I95">IFERROR(INDEX(창고검색범위,SMALL(IF((찾을값=창고검색),MATCH(ROW(창고검색),ROW(창고검색)),""),ROWS($A$1:H94)),COLUMNS($A$1:H94)),"")</x:f>
        <x:v/>
      </x:c>
      <x:c r="J95" s="118" t="str">
        <x:f t="array" ref="J95:J95">IFERROR(INDEX(창고검색범위,SMALL(IF((찾을값=창고검색),MATCH(ROW(창고검색),ROW(창고검색)),""),ROWS($A$1:I94)),COLUMNS($A$1:I94)),"")</x:f>
        <x:v/>
      </x:c>
    </x:row>
    <x:row r="96" spans="1:10">
      <x:c r="A96" s="172"/>
      <x:c r="B96" s="7" t="str">
        <x:f t="array" ref="B96:B96">IFERROR(INDEX(창고검색범위,SMALL(IF((찾을값=창고검색),MATCH(ROW(창고검색),ROW(창고검색)),""),ROWS($A$1:A95)),COLUMNS($A$1:A95)),"")</x:f>
        <x:v/>
      </x:c>
      <x:c r="C96" s="7" t="str">
        <x:f t="array" ref="C96:C96">IFERROR(INDEX(창고검색범위,SMALL(IF((찾을값=창고검색),MATCH(ROW(창고검색),ROW(창고검색)),""),ROWS($A$1:B95)),COLUMNS($A$1:B95)),"")</x:f>
        <x:v/>
      </x:c>
      <x:c r="D96" s="7" t="str">
        <x:f t="array" ref="D96:D96">IFERROR(INDEX(창고검색범위,SMALL(IF((찾을값=창고검색),MATCH(ROW(창고검색),ROW(창고검색)),""),ROWS($A$1:C95)),COLUMNS($A$1:C95)),"")</x:f>
        <x:v/>
      </x:c>
      <x:c r="E96" s="7" t="str">
        <x:f t="array" ref="E96:E96">IFERROR(INDEX(창고검색범위,SMALL(IF((찾을값=창고검색),MATCH(ROW(창고검색),ROW(창고검색)),""),ROWS($A$1:D95)),COLUMNS($A$1:D95)),"")</x:f>
        <x:v/>
      </x:c>
      <x:c r="F96" s="7" t="str">
        <x:f t="array" ref="F96:F96">IFERROR(INDEX(창고검색범위,SMALL(IF((찾을값=창고검색),MATCH(ROW(창고검색),ROW(창고검색)),""),ROWS($A$1:E95)),COLUMNS($A$1:E95)),"")</x:f>
        <x:v/>
      </x:c>
      <x:c r="G96" s="7" t="str">
        <x:f t="array" ref="G96:G96">IFERROR(INDEX(창고검색범위,SMALL(IF((찾을값=창고검색),MATCH(ROW(창고검색),ROW(창고검색)),""),ROWS($A$1:F95)),COLUMNS($A$1:F95)),"")</x:f>
        <x:v/>
      </x:c>
      <x:c r="H96" s="7" t="str">
        <x:f t="array" ref="H96:H96">IFERROR(INDEX(창고검색범위,SMALL(IF((찾을값=창고검색),MATCH(ROW(창고검색),ROW(창고검색)),""),ROWS($A$1:G95)),COLUMNS($A$1:G95)),"")</x:f>
        <x:v/>
      </x:c>
      <x:c r="I96" s="119" t="str">
        <x:f t="array" ref="I96:I96">IFERROR(INDEX(창고검색범위,SMALL(IF((찾을값=창고검색),MATCH(ROW(창고검색),ROW(창고검색)),""),ROWS($A$1:H95)),COLUMNS($A$1:H95)),"")</x:f>
        <x:v/>
      </x:c>
      <x:c r="J96" s="120" t="str">
        <x:f t="array" ref="J96:J96">IFERROR(INDEX(창고검색범위,SMALL(IF((찾을값=창고검색),MATCH(ROW(창고검색),ROW(창고검색)),""),ROWS($A$1:I95)),COLUMNS($A$1:I95)),"")</x:f>
        <x:v/>
      </x:c>
    </x:row>
    <x:row r="97" spans="1:10">
      <x:c r="A97" s="173"/>
      <x:c r="B97" s="8" t="str">
        <x:f t="array" ref="B97:B97">IFERROR(INDEX(창고검색범위,SMALL(IF((찾을값=창고검색),MATCH(ROW(창고검색),ROW(창고검색)),""),ROWS($A$1:A96)),COLUMNS($A$1:A96)),"")</x:f>
        <x:v/>
      </x:c>
      <x:c r="C97" s="8" t="str">
        <x:f t="array" ref="C97:C97">IFERROR(INDEX(창고검색범위,SMALL(IF((찾을값=창고검색),MATCH(ROW(창고검색),ROW(창고검색)),""),ROWS($A$1:B96)),COLUMNS($A$1:B96)),"")</x:f>
        <x:v/>
      </x:c>
      <x:c r="D97" s="8" t="str">
        <x:f t="array" ref="D97:D97">IFERROR(INDEX(창고검색범위,SMALL(IF((찾을값=창고검색),MATCH(ROW(창고검색),ROW(창고검색)),""),ROWS($A$1:C96)),COLUMNS($A$1:C96)),"")</x:f>
        <x:v/>
      </x:c>
      <x:c r="E97" s="8" t="str">
        <x:f t="array" ref="E97:E97">IFERROR(INDEX(창고검색범위,SMALL(IF((찾을값=창고검색),MATCH(ROW(창고검색),ROW(창고검색)),""),ROWS($A$1:D96)),COLUMNS($A$1:D96)),"")</x:f>
        <x:v/>
      </x:c>
      <x:c r="F97" s="8" t="str">
        <x:f t="array" ref="F97:F97">IFERROR(INDEX(창고검색범위,SMALL(IF((찾을값=창고검색),MATCH(ROW(창고검색),ROW(창고검색)),""),ROWS($A$1:E96)),COLUMNS($A$1:E96)),"")</x:f>
        <x:v/>
      </x:c>
      <x:c r="G97" s="8" t="str">
        <x:f t="array" ref="G97:G97">IFERROR(INDEX(창고검색범위,SMALL(IF((찾을값=창고검색),MATCH(ROW(창고검색),ROW(창고검색)),""),ROWS($A$1:F96)),COLUMNS($A$1:F96)),"")</x:f>
        <x:v/>
      </x:c>
      <x:c r="H97" s="8" t="str">
        <x:f t="array" ref="H97:H97">IFERROR(INDEX(창고검색범위,SMALL(IF((찾을값=창고검색),MATCH(ROW(창고검색),ROW(창고검색)),""),ROWS($A$1:G96)),COLUMNS($A$1:G96)),"")</x:f>
        <x:v/>
      </x:c>
      <x:c r="I97" s="117" t="str">
        <x:f t="array" ref="I97:I97">IFERROR(INDEX(창고검색범위,SMALL(IF((찾을값=창고검색),MATCH(ROW(창고검색),ROW(창고검색)),""),ROWS($A$1:H96)),COLUMNS($A$1:H96)),"")</x:f>
        <x:v/>
      </x:c>
      <x:c r="J97" s="118" t="str">
        <x:f t="array" ref="J97:J97">IFERROR(INDEX(창고검색범위,SMALL(IF((찾을값=창고검색),MATCH(ROW(창고검색),ROW(창고검색)),""),ROWS($A$1:I96)),COLUMNS($A$1:I96)),"")</x:f>
        <x:v/>
      </x:c>
    </x:row>
    <x:row r="98" spans="1:10">
      <x:c r="A98" s="172"/>
      <x:c r="B98" s="7" t="str">
        <x:f t="array" ref="B98:B98">IFERROR(INDEX(창고검색범위,SMALL(IF((찾을값=창고검색),MATCH(ROW(창고검색),ROW(창고검색)),""),ROWS($A$1:A97)),COLUMNS($A$1:A97)),"")</x:f>
        <x:v/>
      </x:c>
      <x:c r="C98" s="7" t="str">
        <x:f t="array" ref="C98:C98">IFERROR(INDEX(창고검색범위,SMALL(IF((찾을값=창고검색),MATCH(ROW(창고검색),ROW(창고검색)),""),ROWS($A$1:B97)),COLUMNS($A$1:B97)),"")</x:f>
        <x:v/>
      </x:c>
      <x:c r="D98" s="7" t="str">
        <x:f t="array" ref="D98:D98">IFERROR(INDEX(창고검색범위,SMALL(IF((찾을값=창고검색),MATCH(ROW(창고검색),ROW(창고검색)),""),ROWS($A$1:C97)),COLUMNS($A$1:C97)),"")</x:f>
        <x:v/>
      </x:c>
      <x:c r="E98" s="7" t="str">
        <x:f t="array" ref="E98:E98">IFERROR(INDEX(창고검색범위,SMALL(IF((찾을값=창고검색),MATCH(ROW(창고검색),ROW(창고검색)),""),ROWS($A$1:D97)),COLUMNS($A$1:D97)),"")</x:f>
        <x:v/>
      </x:c>
      <x:c r="F98" s="7" t="str">
        <x:f t="array" ref="F98:F98">IFERROR(INDEX(창고검색범위,SMALL(IF((찾을값=창고검색),MATCH(ROW(창고검색),ROW(창고검색)),""),ROWS($A$1:E97)),COLUMNS($A$1:E97)),"")</x:f>
        <x:v/>
      </x:c>
      <x:c r="G98" s="7" t="str">
        <x:f t="array" ref="G98:G98">IFERROR(INDEX(창고검색범위,SMALL(IF((찾을값=창고검색),MATCH(ROW(창고검색),ROW(창고검색)),""),ROWS($A$1:F97)),COLUMNS($A$1:F97)),"")</x:f>
        <x:v/>
      </x:c>
      <x:c r="H98" s="7" t="str">
        <x:f t="array" ref="H98:H98">IFERROR(INDEX(창고검색범위,SMALL(IF((찾을값=창고검색),MATCH(ROW(창고검색),ROW(창고검색)),""),ROWS($A$1:G97)),COLUMNS($A$1:G97)),"")</x:f>
        <x:v/>
      </x:c>
      <x:c r="I98" s="119" t="str">
        <x:f t="array" ref="I98:I98">IFERROR(INDEX(창고검색범위,SMALL(IF((찾을값=창고검색),MATCH(ROW(창고검색),ROW(창고검색)),""),ROWS($A$1:H97)),COLUMNS($A$1:H97)),"")</x:f>
        <x:v/>
      </x:c>
      <x:c r="J98" s="120" t="str">
        <x:f t="array" ref="J98:J98">IFERROR(INDEX(창고검색범위,SMALL(IF((찾을값=창고검색),MATCH(ROW(창고검색),ROW(창고검색)),""),ROWS($A$1:I97)),COLUMNS($A$1:I97)),"")</x:f>
        <x:v/>
      </x:c>
    </x:row>
    <x:row r="99" spans="1:10">
      <x:c r="A99" s="173"/>
      <x:c r="B99" s="8" t="str">
        <x:f t="array" ref="B99:B99">IFERROR(INDEX(창고검색범위,SMALL(IF((찾을값=창고검색),MATCH(ROW(창고검색),ROW(창고검색)),""),ROWS($A$1:A98)),COLUMNS($A$1:A98)),"")</x:f>
        <x:v/>
      </x:c>
      <x:c r="C99" s="8" t="str">
        <x:f t="array" ref="C99:C99">IFERROR(INDEX(창고검색범위,SMALL(IF((찾을값=창고검색),MATCH(ROW(창고검색),ROW(창고검색)),""),ROWS($A$1:B98)),COLUMNS($A$1:B98)),"")</x:f>
        <x:v/>
      </x:c>
      <x:c r="D99" s="8" t="str">
        <x:f t="array" ref="D99:D99">IFERROR(INDEX(창고검색범위,SMALL(IF((찾을값=창고검색),MATCH(ROW(창고검색),ROW(창고검색)),""),ROWS($A$1:C98)),COLUMNS($A$1:C98)),"")</x:f>
        <x:v/>
      </x:c>
      <x:c r="E99" s="8" t="str">
        <x:f t="array" ref="E99:E99">IFERROR(INDEX(창고검색범위,SMALL(IF((찾을값=창고검색),MATCH(ROW(창고검색),ROW(창고검색)),""),ROWS($A$1:D98)),COLUMNS($A$1:D98)),"")</x:f>
        <x:v/>
      </x:c>
      <x:c r="F99" s="8" t="str">
        <x:f t="array" ref="F99:F99">IFERROR(INDEX(창고검색범위,SMALL(IF((찾을값=창고검색),MATCH(ROW(창고검색),ROW(창고검색)),""),ROWS($A$1:E98)),COLUMNS($A$1:E98)),"")</x:f>
        <x:v/>
      </x:c>
      <x:c r="G99" s="8" t="str">
        <x:f t="array" ref="G99:G99">IFERROR(INDEX(창고검색범위,SMALL(IF((찾을값=창고검색),MATCH(ROW(창고검색),ROW(창고검색)),""),ROWS($A$1:F98)),COLUMNS($A$1:F98)),"")</x:f>
        <x:v/>
      </x:c>
      <x:c r="H99" s="8" t="str">
        <x:f t="array" ref="H99:H99">IFERROR(INDEX(창고검색범위,SMALL(IF((찾을값=창고검색),MATCH(ROW(창고검색),ROW(창고검색)),""),ROWS($A$1:G98)),COLUMNS($A$1:G98)),"")</x:f>
        <x:v/>
      </x:c>
      <x:c r="I99" s="117" t="str">
        <x:f t="array" ref="I99:I99">IFERROR(INDEX(창고검색범위,SMALL(IF((찾을값=창고검색),MATCH(ROW(창고검색),ROW(창고검색)),""),ROWS($A$1:H98)),COLUMNS($A$1:H98)),"")</x:f>
        <x:v/>
      </x:c>
      <x:c r="J99" s="118" t="str">
        <x:f t="array" ref="J99:J99">IFERROR(INDEX(창고검색범위,SMALL(IF((찾을값=창고검색),MATCH(ROW(창고검색),ROW(창고검색)),""),ROWS($A$1:I98)),COLUMNS($A$1:I98)),"")</x:f>
        <x:v/>
      </x:c>
    </x:row>
    <x:row r="100" spans="1:10">
      <x:c r="A100" s="172"/>
      <x:c r="B100" s="7" t="str">
        <x:f t="array" ref="B100:B100">IFERROR(INDEX(창고검색범위,SMALL(IF((찾을값=창고검색),MATCH(ROW(창고검색),ROW(창고검색)),""),ROWS($A$1:A99)),COLUMNS($A$1:A99)),"")</x:f>
        <x:v/>
      </x:c>
      <x:c r="C100" s="7" t="str">
        <x:f t="array" ref="C100:C100">IFERROR(INDEX(창고검색범위,SMALL(IF((찾을값=창고검색),MATCH(ROW(창고검색),ROW(창고검색)),""),ROWS($A$1:B99)),COLUMNS($A$1:B99)),"")</x:f>
        <x:v/>
      </x:c>
      <x:c r="D100" s="7" t="str">
        <x:f t="array" ref="D100:D100">IFERROR(INDEX(창고검색범위,SMALL(IF((찾을값=창고검색),MATCH(ROW(창고검색),ROW(창고검색)),""),ROWS($A$1:C99)),COLUMNS($A$1:C99)),"")</x:f>
        <x:v/>
      </x:c>
      <x:c r="E100" s="7" t="str">
        <x:f t="array" ref="E100:E100">IFERROR(INDEX(창고검색범위,SMALL(IF((찾을값=창고검색),MATCH(ROW(창고검색),ROW(창고검색)),""),ROWS($A$1:D99)),COLUMNS($A$1:D99)),"")</x:f>
        <x:v/>
      </x:c>
      <x:c r="F100" s="7" t="str">
        <x:f t="array" ref="F100:F100">IFERROR(INDEX(창고검색범위,SMALL(IF((찾을값=창고검색),MATCH(ROW(창고검색),ROW(창고검색)),""),ROWS($A$1:E99)),COLUMNS($A$1:E99)),"")</x:f>
        <x:v/>
      </x:c>
      <x:c r="G100" s="7" t="str">
        <x:f t="array" ref="G100:G100">IFERROR(INDEX(창고검색범위,SMALL(IF((찾을값=창고검색),MATCH(ROW(창고검색),ROW(창고검색)),""),ROWS($A$1:F99)),COLUMNS($A$1:F99)),"")</x:f>
        <x:v/>
      </x:c>
      <x:c r="H100" s="7" t="str">
        <x:f t="array" ref="H100:H100">IFERROR(INDEX(창고검색범위,SMALL(IF((찾을값=창고검색),MATCH(ROW(창고검색),ROW(창고검색)),""),ROWS($A$1:G99)),COLUMNS($A$1:G99)),"")</x:f>
        <x:v/>
      </x:c>
      <x:c r="I100" s="119" t="str">
        <x:f t="array" ref="I100:I100">IFERROR(INDEX(창고검색범위,SMALL(IF((찾을값=창고검색),MATCH(ROW(창고검색),ROW(창고검색)),""),ROWS($A$1:H99)),COLUMNS($A$1:H99)),"")</x:f>
        <x:v/>
      </x:c>
      <x:c r="J100" s="120" t="str">
        <x:f t="array" ref="J100:J100">IFERROR(INDEX(창고검색범위,SMALL(IF((찾을값=창고검색),MATCH(ROW(창고검색),ROW(창고검색)),""),ROWS($A$1:I99)),COLUMNS($A$1:I99)),"")</x:f>
        <x:v/>
      </x:c>
    </x:row>
    <x:row r="101" spans="1:10">
      <x:c r="A101" s="173"/>
      <x:c r="B101" s="8" t="str">
        <x:f t="array" ref="B101:B101">IFERROR(INDEX(창고검색범위,SMALL(IF((찾을값=창고검색),MATCH(ROW(창고검색),ROW(창고검색)),""),ROWS($A$1:A100)),COLUMNS($A$1:A100)),"")</x:f>
        <x:v/>
      </x:c>
      <x:c r="C101" s="8" t="str">
        <x:f t="array" ref="C101:C101">IFERROR(INDEX(창고검색범위,SMALL(IF((찾을값=창고검색),MATCH(ROW(창고검색),ROW(창고검색)),""),ROWS($A$1:B100)),COLUMNS($A$1:B100)),"")</x:f>
        <x:v/>
      </x:c>
      <x:c r="D101" s="8" t="str">
        <x:f t="array" ref="D101:D101">IFERROR(INDEX(창고검색범위,SMALL(IF((찾을값=창고검색),MATCH(ROW(창고검색),ROW(창고검색)),""),ROWS($A$1:C100)),COLUMNS($A$1:C100)),"")</x:f>
        <x:v/>
      </x:c>
      <x:c r="E101" s="8" t="str">
        <x:f t="array" ref="E101:E101">IFERROR(INDEX(창고검색범위,SMALL(IF((찾을값=창고검색),MATCH(ROW(창고검색),ROW(창고검색)),""),ROWS($A$1:D100)),COLUMNS($A$1:D100)),"")</x:f>
        <x:v/>
      </x:c>
      <x:c r="F101" s="8" t="str">
        <x:f t="array" ref="F101:F101">IFERROR(INDEX(창고검색범위,SMALL(IF((찾을값=창고검색),MATCH(ROW(창고검색),ROW(창고검색)),""),ROWS($A$1:E100)),COLUMNS($A$1:E100)),"")</x:f>
        <x:v/>
      </x:c>
      <x:c r="G101" s="8" t="str">
        <x:f t="array" ref="G101:G101">IFERROR(INDEX(창고검색범위,SMALL(IF((찾을값=창고검색),MATCH(ROW(창고검색),ROW(창고검색)),""),ROWS($A$1:F100)),COLUMNS($A$1:F100)),"")</x:f>
        <x:v/>
      </x:c>
      <x:c r="H101" s="8" t="str">
        <x:f t="array" ref="H101:H101">IFERROR(INDEX(창고검색범위,SMALL(IF((찾을값=창고검색),MATCH(ROW(창고검색),ROW(창고검색)),""),ROWS($A$1:G100)),COLUMNS($A$1:G100)),"")</x:f>
        <x:v/>
      </x:c>
      <x:c r="I101" s="117" t="str">
        <x:f t="array" ref="I101:I101">IFERROR(INDEX(창고검색범위,SMALL(IF((찾을값=창고검색),MATCH(ROW(창고검색),ROW(창고검색)),""),ROWS($A$1:H100)),COLUMNS($A$1:H100)),"")</x:f>
        <x:v/>
      </x:c>
      <x:c r="J101" s="118" t="str">
        <x:f t="array" ref="J101:J101">IFERROR(INDEX(창고검색범위,SMALL(IF((찾을값=창고검색),MATCH(ROW(창고검색),ROW(창고검색)),""),ROWS($A$1:I100)),COLUMNS($A$1:I100)),"")</x:f>
        <x:v/>
      </x:c>
    </x:row>
    <x:row r="102" spans="1:10">
      <x:c r="A102" s="172"/>
      <x:c r="B102" s="7" t="str">
        <x:f t="array" ref="B102:B102">IFERROR(INDEX(창고검색범위,SMALL(IF((찾을값=창고검색),MATCH(ROW(창고검색),ROW(창고검색)),""),ROWS($A$1:A101)),COLUMNS($A$1:A101)),"")</x:f>
        <x:v/>
      </x:c>
      <x:c r="C102" s="7" t="str">
        <x:f t="array" ref="C102:C102">IFERROR(INDEX(창고검색범위,SMALL(IF((찾을값=창고검색),MATCH(ROW(창고검색),ROW(창고검색)),""),ROWS($A$1:B101)),COLUMNS($A$1:B101)),"")</x:f>
        <x:v/>
      </x:c>
      <x:c r="D102" s="7" t="str">
        <x:f t="array" ref="D102:D102">IFERROR(INDEX(창고검색범위,SMALL(IF((찾을값=창고검색),MATCH(ROW(창고검색),ROW(창고검색)),""),ROWS($A$1:C101)),COLUMNS($A$1:C101)),"")</x:f>
        <x:v/>
      </x:c>
      <x:c r="E102" s="7" t="str">
        <x:f t="array" ref="E102:E102">IFERROR(INDEX(창고검색범위,SMALL(IF((찾을값=창고검색),MATCH(ROW(창고검색),ROW(창고검색)),""),ROWS($A$1:D101)),COLUMNS($A$1:D101)),"")</x:f>
        <x:v/>
      </x:c>
      <x:c r="F102" s="7" t="str">
        <x:f t="array" ref="F102:F102">IFERROR(INDEX(창고검색범위,SMALL(IF((찾을값=창고검색),MATCH(ROW(창고검색),ROW(창고검색)),""),ROWS($A$1:E101)),COLUMNS($A$1:E101)),"")</x:f>
        <x:v/>
      </x:c>
      <x:c r="G102" s="7" t="str">
        <x:f t="array" ref="G102:G102">IFERROR(INDEX(창고검색범위,SMALL(IF((찾을값=창고검색),MATCH(ROW(창고검색),ROW(창고검색)),""),ROWS($A$1:F101)),COLUMNS($A$1:F101)),"")</x:f>
        <x:v/>
      </x:c>
      <x:c r="H102" s="7" t="str">
        <x:f t="array" ref="H102:H102">IFERROR(INDEX(창고검색범위,SMALL(IF((찾을값=창고검색),MATCH(ROW(창고검색),ROW(창고검색)),""),ROWS($A$1:G101)),COLUMNS($A$1:G101)),"")</x:f>
        <x:v/>
      </x:c>
      <x:c r="I102" s="119" t="str">
        <x:f t="array" ref="I102:I102">IFERROR(INDEX(창고검색범위,SMALL(IF((찾을값=창고검색),MATCH(ROW(창고검색),ROW(창고검색)),""),ROWS($A$1:H101)),COLUMNS($A$1:H101)),"")</x:f>
        <x:v/>
      </x:c>
      <x:c r="J102" s="120" t="str">
        <x:f t="array" ref="J102:J102">IFERROR(INDEX(창고검색범위,SMALL(IF((찾을값=창고검색),MATCH(ROW(창고검색),ROW(창고검색)),""),ROWS($A$1:I101)),COLUMNS($A$1:I101)),"")</x:f>
        <x:v/>
      </x:c>
    </x:row>
    <x:row r="103" spans="1:10">
      <x:c r="A103" s="173"/>
      <x:c r="B103" s="8" t="str">
        <x:f t="array" ref="B103:B103">IFERROR(INDEX(창고검색범위,SMALL(IF((찾을값=창고검색),MATCH(ROW(창고검색),ROW(창고검색)),""),ROWS($A$1:A102)),COLUMNS($A$1:A102)),"")</x:f>
        <x:v/>
      </x:c>
      <x:c r="C103" s="8" t="str">
        <x:f t="array" ref="C103:C103">IFERROR(INDEX(창고검색범위,SMALL(IF((찾을값=창고검색),MATCH(ROW(창고검색),ROW(창고검색)),""),ROWS($A$1:B102)),COLUMNS($A$1:B102)),"")</x:f>
        <x:v/>
      </x:c>
      <x:c r="D103" s="8" t="str">
        <x:f t="array" ref="D103:D103">IFERROR(INDEX(창고검색범위,SMALL(IF((찾을값=창고검색),MATCH(ROW(창고검색),ROW(창고검색)),""),ROWS($A$1:C102)),COLUMNS($A$1:C102)),"")</x:f>
        <x:v/>
      </x:c>
      <x:c r="E103" s="8" t="str">
        <x:f t="array" ref="E103:E103">IFERROR(INDEX(창고검색범위,SMALL(IF((찾을값=창고검색),MATCH(ROW(창고검색),ROW(창고검색)),""),ROWS($A$1:D102)),COLUMNS($A$1:D102)),"")</x:f>
        <x:v/>
      </x:c>
      <x:c r="F103" s="8" t="str">
        <x:f t="array" ref="F103:F103">IFERROR(INDEX(창고검색범위,SMALL(IF((찾을값=창고검색),MATCH(ROW(창고검색),ROW(창고검색)),""),ROWS($A$1:E102)),COLUMNS($A$1:E102)),"")</x:f>
        <x:v/>
      </x:c>
      <x:c r="G103" s="8" t="str">
        <x:f t="array" ref="G103:G103">IFERROR(INDEX(창고검색범위,SMALL(IF((찾을값=창고검색),MATCH(ROW(창고검색),ROW(창고검색)),""),ROWS($A$1:F102)),COLUMNS($A$1:F102)),"")</x:f>
        <x:v/>
      </x:c>
      <x:c r="H103" s="8" t="str">
        <x:f t="array" ref="H103:H103">IFERROR(INDEX(창고검색범위,SMALL(IF((찾을값=창고검색),MATCH(ROW(창고검색),ROW(창고검색)),""),ROWS($A$1:G102)),COLUMNS($A$1:G102)),"")</x:f>
        <x:v/>
      </x:c>
      <x:c r="I103" s="117" t="str">
        <x:f t="array" ref="I103:I103">IFERROR(INDEX(창고검색범위,SMALL(IF((찾을값=창고검색),MATCH(ROW(창고검색),ROW(창고검색)),""),ROWS($A$1:H102)),COLUMNS($A$1:H102)),"")</x:f>
        <x:v/>
      </x:c>
      <x:c r="J103" s="118" t="str">
        <x:f t="array" ref="J103:J103">IFERROR(INDEX(창고검색범위,SMALL(IF((찾을값=창고검색),MATCH(ROW(창고검색),ROW(창고검색)),""),ROWS($A$1:I102)),COLUMNS($A$1:I102)),"")</x:f>
        <x:v/>
      </x:c>
    </x:row>
    <x:row r="104" spans="1:10">
      <x:c r="A104" s="172"/>
      <x:c r="B104" s="7" t="str">
        <x:f t="array" ref="B104:B104">IFERROR(INDEX(창고검색범위,SMALL(IF((찾을값=창고검색),MATCH(ROW(창고검색),ROW(창고검색)),""),ROWS($A$1:A103)),COLUMNS($A$1:A103)),"")</x:f>
        <x:v/>
      </x:c>
      <x:c r="C104" s="7" t="str">
        <x:f t="array" ref="C104:C104">IFERROR(INDEX(창고검색범위,SMALL(IF((찾을값=창고검색),MATCH(ROW(창고검색),ROW(창고검색)),""),ROWS($A$1:B103)),COLUMNS($A$1:B103)),"")</x:f>
        <x:v/>
      </x:c>
      <x:c r="D104" s="7" t="str">
        <x:f t="array" ref="D104:D104">IFERROR(INDEX(창고검색범위,SMALL(IF((찾을값=창고검색),MATCH(ROW(창고검색),ROW(창고검색)),""),ROWS($A$1:C103)),COLUMNS($A$1:C103)),"")</x:f>
        <x:v/>
      </x:c>
      <x:c r="E104" s="7" t="str">
        <x:f t="array" ref="E104:E104">IFERROR(INDEX(창고검색범위,SMALL(IF((찾을값=창고검색),MATCH(ROW(창고검색),ROW(창고검색)),""),ROWS($A$1:D103)),COLUMNS($A$1:D103)),"")</x:f>
        <x:v/>
      </x:c>
      <x:c r="F104" s="7" t="str">
        <x:f t="array" ref="F104:F104">IFERROR(INDEX(창고검색범위,SMALL(IF((찾을값=창고검색),MATCH(ROW(창고검색),ROW(창고검색)),""),ROWS($A$1:E103)),COLUMNS($A$1:E103)),"")</x:f>
        <x:v/>
      </x:c>
      <x:c r="G104" s="7" t="str">
        <x:f t="array" ref="G104:G104">IFERROR(INDEX(창고검색범위,SMALL(IF((찾을값=창고검색),MATCH(ROW(창고검색),ROW(창고검색)),""),ROWS($A$1:F103)),COLUMNS($A$1:F103)),"")</x:f>
        <x:v/>
      </x:c>
      <x:c r="H104" s="7" t="str">
        <x:f t="array" ref="H104:H104">IFERROR(INDEX(창고검색범위,SMALL(IF((찾을값=창고검색),MATCH(ROW(창고검색),ROW(창고검색)),""),ROWS($A$1:G103)),COLUMNS($A$1:G103)),"")</x:f>
        <x:v/>
      </x:c>
      <x:c r="I104" s="119" t="str">
        <x:f t="array" ref="I104:I104">IFERROR(INDEX(창고검색범위,SMALL(IF((찾을값=창고검색),MATCH(ROW(창고검색),ROW(창고검색)),""),ROWS($A$1:H103)),COLUMNS($A$1:H103)),"")</x:f>
        <x:v/>
      </x:c>
      <x:c r="J104" s="120" t="str">
        <x:f t="array" ref="J104:J104">IFERROR(INDEX(창고검색범위,SMALL(IF((찾을값=창고검색),MATCH(ROW(창고검색),ROW(창고검색)),""),ROWS($A$1:I103)),COLUMNS($A$1:I103)),"")</x:f>
        <x:v/>
      </x:c>
    </x:row>
    <x:row r="105" spans="1:10">
      <x:c r="A105" s="173"/>
      <x:c r="B105" s="8" t="str">
        <x:f t="array" ref="B105:B105">IFERROR(INDEX(창고검색범위,SMALL(IF((찾을값=창고검색),MATCH(ROW(창고검색),ROW(창고검색)),""),ROWS($A$1:A104)),COLUMNS($A$1:A104)),"")</x:f>
        <x:v/>
      </x:c>
      <x:c r="C105" s="8" t="str">
        <x:f t="array" ref="C105:C105">IFERROR(INDEX(창고검색범위,SMALL(IF((찾을값=창고검색),MATCH(ROW(창고검색),ROW(창고검색)),""),ROWS($A$1:B104)),COLUMNS($A$1:B104)),"")</x:f>
        <x:v/>
      </x:c>
      <x:c r="D105" s="8" t="str">
        <x:f t="array" ref="D105:D105">IFERROR(INDEX(창고검색범위,SMALL(IF((찾을값=창고검색),MATCH(ROW(창고검색),ROW(창고검색)),""),ROWS($A$1:C104)),COLUMNS($A$1:C104)),"")</x:f>
        <x:v/>
      </x:c>
      <x:c r="E105" s="8" t="str">
        <x:f t="array" ref="E105:E105">IFERROR(INDEX(창고검색범위,SMALL(IF((찾을값=창고검색),MATCH(ROW(창고검색),ROW(창고검색)),""),ROWS($A$1:D104)),COLUMNS($A$1:D104)),"")</x:f>
        <x:v/>
      </x:c>
      <x:c r="F105" s="8" t="str">
        <x:f t="array" ref="F105:F105">IFERROR(INDEX(창고검색범위,SMALL(IF((찾을값=창고검색),MATCH(ROW(창고검색),ROW(창고검색)),""),ROWS($A$1:E104)),COLUMNS($A$1:E104)),"")</x:f>
        <x:v/>
      </x:c>
      <x:c r="G105" s="8" t="str">
        <x:f t="array" ref="G105:G105">IFERROR(INDEX(창고검색범위,SMALL(IF((찾을값=창고검색),MATCH(ROW(창고검색),ROW(창고검색)),""),ROWS($A$1:F104)),COLUMNS($A$1:F104)),"")</x:f>
        <x:v/>
      </x:c>
      <x:c r="H105" s="8" t="str">
        <x:f t="array" ref="H105:H105">IFERROR(INDEX(창고검색범위,SMALL(IF((찾을값=창고검색),MATCH(ROW(창고검색),ROW(창고검색)),""),ROWS($A$1:G104)),COLUMNS($A$1:G104)),"")</x:f>
        <x:v/>
      </x:c>
      <x:c r="I105" s="117" t="str">
        <x:f t="array" ref="I105:I105">IFERROR(INDEX(창고검색범위,SMALL(IF((찾을값=창고검색),MATCH(ROW(창고검색),ROW(창고검색)),""),ROWS($A$1:H104)),COLUMNS($A$1:H104)),"")</x:f>
        <x:v/>
      </x:c>
      <x:c r="J105" s="118" t="str">
        <x:f t="array" ref="J105:J105">IFERROR(INDEX(창고검색범위,SMALL(IF((찾을값=창고검색),MATCH(ROW(창고검색),ROW(창고검색)),""),ROWS($A$1:I104)),COLUMNS($A$1:I104)),"")</x:f>
        <x:v/>
      </x:c>
    </x:row>
    <x:row r="106" spans="1:10">
      <x:c r="A106" s="172"/>
      <x:c r="B106" s="7" t="str">
        <x:f t="array" ref="B106:B106">IFERROR(INDEX(창고검색범위,SMALL(IF((찾을값=창고검색),MATCH(ROW(창고검색),ROW(창고검색)),""),ROWS($A$1:A105)),COLUMNS($A$1:A105)),"")</x:f>
        <x:v/>
      </x:c>
      <x:c r="C106" s="7" t="str">
        <x:f t="array" ref="C106:C106">IFERROR(INDEX(창고검색범위,SMALL(IF((찾을값=창고검색),MATCH(ROW(창고검색),ROW(창고검색)),""),ROWS($A$1:B105)),COLUMNS($A$1:B105)),"")</x:f>
        <x:v/>
      </x:c>
      <x:c r="D106" s="7" t="str">
        <x:f t="array" ref="D106:D106">IFERROR(INDEX(창고검색범위,SMALL(IF((찾을값=창고검색),MATCH(ROW(창고검색),ROW(창고검색)),""),ROWS($A$1:C105)),COLUMNS($A$1:C105)),"")</x:f>
        <x:v/>
      </x:c>
      <x:c r="E106" s="7" t="str">
        <x:f t="array" ref="E106:E106">IFERROR(INDEX(창고검색범위,SMALL(IF((찾을값=창고검색),MATCH(ROW(창고검색),ROW(창고검색)),""),ROWS($A$1:D105)),COLUMNS($A$1:D105)),"")</x:f>
        <x:v/>
      </x:c>
      <x:c r="F106" s="7" t="str">
        <x:f t="array" ref="F106:F106">IFERROR(INDEX(창고검색범위,SMALL(IF((찾을값=창고검색),MATCH(ROW(창고검색),ROW(창고검색)),""),ROWS($A$1:E105)),COLUMNS($A$1:E105)),"")</x:f>
        <x:v/>
      </x:c>
      <x:c r="G106" s="7" t="str">
        <x:f t="array" ref="G106:G106">IFERROR(INDEX(창고검색범위,SMALL(IF((찾을값=창고검색),MATCH(ROW(창고검색),ROW(창고검색)),""),ROWS($A$1:F105)),COLUMNS($A$1:F105)),"")</x:f>
        <x:v/>
      </x:c>
      <x:c r="H106" s="7" t="str">
        <x:f t="array" ref="H106:H106">IFERROR(INDEX(창고검색범위,SMALL(IF((찾을값=창고검색),MATCH(ROW(창고검색),ROW(창고검색)),""),ROWS($A$1:G105)),COLUMNS($A$1:G105)),"")</x:f>
        <x:v/>
      </x:c>
      <x:c r="I106" s="119" t="str">
        <x:f t="array" ref="I106:I106">IFERROR(INDEX(창고검색범위,SMALL(IF((찾을값=창고검색),MATCH(ROW(창고검색),ROW(창고검색)),""),ROWS($A$1:H105)),COLUMNS($A$1:H105)),"")</x:f>
        <x:v/>
      </x:c>
      <x:c r="J106" s="120" t="str">
        <x:f t="array" ref="J106:J106">IFERROR(INDEX(창고검색범위,SMALL(IF((찾을값=창고검색),MATCH(ROW(창고검색),ROW(창고검색)),""),ROWS($A$1:I105)),COLUMNS($A$1:I105)),"")</x:f>
        <x:v/>
      </x:c>
    </x:row>
    <x:row r="107" spans="1:10">
      <x:c r="A107" s="173"/>
      <x:c r="B107" s="8" t="str">
        <x:f t="array" ref="B107:B107">IFERROR(INDEX(창고검색범위,SMALL(IF((찾을값=창고검색),MATCH(ROW(창고검색),ROW(창고검색)),""),ROWS($A$1:A106)),COLUMNS($A$1:A106)),"")</x:f>
        <x:v/>
      </x:c>
      <x:c r="C107" s="8" t="str">
        <x:f t="array" ref="C107:C107">IFERROR(INDEX(창고검색범위,SMALL(IF((찾을값=창고검색),MATCH(ROW(창고검색),ROW(창고검색)),""),ROWS($A$1:B106)),COLUMNS($A$1:B106)),"")</x:f>
        <x:v/>
      </x:c>
      <x:c r="D107" s="8" t="str">
        <x:f t="array" ref="D107:D107">IFERROR(INDEX(창고검색범위,SMALL(IF((찾을값=창고검색),MATCH(ROW(창고검색),ROW(창고검색)),""),ROWS($A$1:C106)),COLUMNS($A$1:C106)),"")</x:f>
        <x:v/>
      </x:c>
      <x:c r="E107" s="8" t="str">
        <x:f t="array" ref="E107:E107">IFERROR(INDEX(창고검색범위,SMALL(IF((찾을값=창고검색),MATCH(ROW(창고검색),ROW(창고검색)),""),ROWS($A$1:D106)),COLUMNS($A$1:D106)),"")</x:f>
        <x:v/>
      </x:c>
      <x:c r="F107" s="8" t="str">
        <x:f t="array" ref="F107:F107">IFERROR(INDEX(창고검색범위,SMALL(IF((찾을값=창고검색),MATCH(ROW(창고검색),ROW(창고검색)),""),ROWS($A$1:E106)),COLUMNS($A$1:E106)),"")</x:f>
        <x:v/>
      </x:c>
      <x:c r="G107" s="8" t="str">
        <x:f t="array" ref="G107:G107">IFERROR(INDEX(창고검색범위,SMALL(IF((찾을값=창고검색),MATCH(ROW(창고검색),ROW(창고검색)),""),ROWS($A$1:F106)),COLUMNS($A$1:F106)),"")</x:f>
        <x:v/>
      </x:c>
      <x:c r="H107" s="8" t="str">
        <x:f t="array" ref="H107:H107">IFERROR(INDEX(창고검색범위,SMALL(IF((찾을값=창고검색),MATCH(ROW(창고검색),ROW(창고검색)),""),ROWS($A$1:G106)),COLUMNS($A$1:G106)),"")</x:f>
        <x:v/>
      </x:c>
      <x:c r="I107" s="117" t="str">
        <x:f t="array" ref="I107:I107">IFERROR(INDEX(창고검색범위,SMALL(IF((찾을값=창고검색),MATCH(ROW(창고검색),ROW(창고검색)),""),ROWS($A$1:H106)),COLUMNS($A$1:H106)),"")</x:f>
        <x:v/>
      </x:c>
      <x:c r="J107" s="118" t="str">
        <x:f t="array" ref="J107:J107">IFERROR(INDEX(창고검색범위,SMALL(IF((찾을값=창고검색),MATCH(ROW(창고검색),ROW(창고검색)),""),ROWS($A$1:I106)),COLUMNS($A$1:I106)),"")</x:f>
        <x:v/>
      </x:c>
    </x:row>
    <x:row r="108" spans="1:10">
      <x:c r="A108" s="172"/>
      <x:c r="B108" s="7" t="str">
        <x:f t="array" ref="B108:B108">IFERROR(INDEX(창고검색범위,SMALL(IF((찾을값=창고검색),MATCH(ROW(창고검색),ROW(창고검색)),""),ROWS($A$1:A107)),COLUMNS($A$1:A107)),"")</x:f>
        <x:v/>
      </x:c>
      <x:c r="C108" s="7" t="str">
        <x:f t="array" ref="C108:C108">IFERROR(INDEX(창고검색범위,SMALL(IF((찾을값=창고검색),MATCH(ROW(창고검색),ROW(창고검색)),""),ROWS($A$1:B107)),COLUMNS($A$1:B107)),"")</x:f>
        <x:v/>
      </x:c>
      <x:c r="D108" s="7" t="str">
        <x:f t="array" ref="D108:D108">IFERROR(INDEX(창고검색범위,SMALL(IF((찾을값=창고검색),MATCH(ROW(창고검색),ROW(창고검색)),""),ROWS($A$1:C107)),COLUMNS($A$1:C107)),"")</x:f>
        <x:v/>
      </x:c>
      <x:c r="E108" s="7" t="str">
        <x:f t="array" ref="E108:E108">IFERROR(INDEX(창고검색범위,SMALL(IF((찾을값=창고검색),MATCH(ROW(창고검색),ROW(창고검색)),""),ROWS($A$1:D107)),COLUMNS($A$1:D107)),"")</x:f>
        <x:v/>
      </x:c>
      <x:c r="F108" s="7" t="str">
        <x:f t="array" ref="F108:F108">IFERROR(INDEX(창고검색범위,SMALL(IF((찾을값=창고검색),MATCH(ROW(창고검색),ROW(창고검색)),""),ROWS($A$1:E107)),COLUMNS($A$1:E107)),"")</x:f>
        <x:v/>
      </x:c>
      <x:c r="G108" s="7" t="str">
        <x:f t="array" ref="G108:G108">IFERROR(INDEX(창고검색범위,SMALL(IF((찾을값=창고검색),MATCH(ROW(창고검색),ROW(창고검색)),""),ROWS($A$1:F107)),COLUMNS($A$1:F107)),"")</x:f>
        <x:v/>
      </x:c>
      <x:c r="H108" s="7" t="str">
        <x:f t="array" ref="H108:H108">IFERROR(INDEX(창고검색범위,SMALL(IF((찾을값=창고검색),MATCH(ROW(창고검색),ROW(창고검색)),""),ROWS($A$1:G107)),COLUMNS($A$1:G107)),"")</x:f>
        <x:v/>
      </x:c>
      <x:c r="I108" s="119" t="str">
        <x:f t="array" ref="I108:I108">IFERROR(INDEX(창고검색범위,SMALL(IF((찾을값=창고검색),MATCH(ROW(창고검색),ROW(창고검색)),""),ROWS($A$1:H107)),COLUMNS($A$1:H107)),"")</x:f>
        <x:v/>
      </x:c>
      <x:c r="J108" s="120" t="str">
        <x:f t="array" ref="J108:J108">IFERROR(INDEX(창고검색범위,SMALL(IF((찾을값=창고검색),MATCH(ROW(창고검색),ROW(창고검색)),""),ROWS($A$1:I107)),COLUMNS($A$1:I107)),"")</x:f>
        <x:v/>
      </x:c>
    </x:row>
    <x:row r="109" spans="1:10">
      <x:c r="A109" s="173"/>
      <x:c r="B109" s="8" t="str">
        <x:f t="array" ref="B109:B109">IFERROR(INDEX(창고검색범위,SMALL(IF((찾을값=창고검색),MATCH(ROW(창고검색),ROW(창고검색)),""),ROWS($A$1:A108)),COLUMNS($A$1:A108)),"")</x:f>
        <x:v/>
      </x:c>
      <x:c r="C109" s="8" t="str">
        <x:f t="array" ref="C109:C109">IFERROR(INDEX(창고검색범위,SMALL(IF((찾을값=창고검색),MATCH(ROW(창고검색),ROW(창고검색)),""),ROWS($A$1:B108)),COLUMNS($A$1:B108)),"")</x:f>
        <x:v/>
      </x:c>
      <x:c r="D109" s="8" t="str">
        <x:f t="array" ref="D109:D109">IFERROR(INDEX(창고검색범위,SMALL(IF((찾을값=창고검색),MATCH(ROW(창고검색),ROW(창고검색)),""),ROWS($A$1:C108)),COLUMNS($A$1:C108)),"")</x:f>
        <x:v/>
      </x:c>
      <x:c r="E109" s="8" t="str">
        <x:f t="array" ref="E109:E109">IFERROR(INDEX(창고검색범위,SMALL(IF((찾을값=창고검색),MATCH(ROW(창고검색),ROW(창고검색)),""),ROWS($A$1:D108)),COLUMNS($A$1:D108)),"")</x:f>
        <x:v/>
      </x:c>
      <x:c r="F109" s="8" t="str">
        <x:f t="array" ref="F109:F109">IFERROR(INDEX(창고검색범위,SMALL(IF((찾을값=창고검색),MATCH(ROW(창고검색),ROW(창고검색)),""),ROWS($A$1:E108)),COLUMNS($A$1:E108)),"")</x:f>
        <x:v/>
      </x:c>
      <x:c r="G109" s="8" t="str">
        <x:f t="array" ref="G109:G109">IFERROR(INDEX(창고검색범위,SMALL(IF((찾을값=창고검색),MATCH(ROW(창고검색),ROW(창고검색)),""),ROWS($A$1:F108)),COLUMNS($A$1:F108)),"")</x:f>
        <x:v/>
      </x:c>
      <x:c r="H109" s="8" t="str">
        <x:f t="array" ref="H109:H109">IFERROR(INDEX(창고검색범위,SMALL(IF((찾을값=창고검색),MATCH(ROW(창고검색),ROW(창고검색)),""),ROWS($A$1:G108)),COLUMNS($A$1:G108)),"")</x:f>
        <x:v/>
      </x:c>
      <x:c r="I109" s="117" t="str">
        <x:f t="array" ref="I109:I109">IFERROR(INDEX(창고검색범위,SMALL(IF((찾을값=창고검색),MATCH(ROW(창고검색),ROW(창고검색)),""),ROWS($A$1:H108)),COLUMNS($A$1:H108)),"")</x:f>
        <x:v/>
      </x:c>
      <x:c r="J109" s="118" t="str">
        <x:f t="array" ref="J109:J109">IFERROR(INDEX(창고검색범위,SMALL(IF((찾을값=창고검색),MATCH(ROW(창고검색),ROW(창고검색)),""),ROWS($A$1:I108)),COLUMNS($A$1:I108)),"")</x:f>
        <x:v/>
      </x:c>
    </x:row>
    <x:row r="110" spans="1:10">
      <x:c r="A110" s="172"/>
      <x:c r="B110" s="7" t="str">
        <x:f t="array" ref="B110:B110">IFERROR(INDEX(창고검색범위,SMALL(IF((찾을값=창고검색),MATCH(ROW(창고검색),ROW(창고검색)),""),ROWS($A$1:A109)),COLUMNS($A$1:A109)),"")</x:f>
        <x:v/>
      </x:c>
      <x:c r="C110" s="7" t="str">
        <x:f t="array" ref="C110:C110">IFERROR(INDEX(창고검색범위,SMALL(IF((찾을값=창고검색),MATCH(ROW(창고검색),ROW(창고검색)),""),ROWS($A$1:B109)),COLUMNS($A$1:B109)),"")</x:f>
        <x:v/>
      </x:c>
      <x:c r="D110" s="7" t="str">
        <x:f t="array" ref="D110:D110">IFERROR(INDEX(창고검색범위,SMALL(IF((찾을값=창고검색),MATCH(ROW(창고검색),ROW(창고검색)),""),ROWS($A$1:C109)),COLUMNS($A$1:C109)),"")</x:f>
        <x:v/>
      </x:c>
      <x:c r="E110" s="7" t="str">
        <x:f t="array" ref="E110:E110">IFERROR(INDEX(창고검색범위,SMALL(IF((찾을값=창고검색),MATCH(ROW(창고검색),ROW(창고검색)),""),ROWS($A$1:D109)),COLUMNS($A$1:D109)),"")</x:f>
        <x:v/>
      </x:c>
      <x:c r="F110" s="7" t="str">
        <x:f t="array" ref="F110:F110">IFERROR(INDEX(창고검색범위,SMALL(IF((찾을값=창고검색),MATCH(ROW(창고검색),ROW(창고검색)),""),ROWS($A$1:E109)),COLUMNS($A$1:E109)),"")</x:f>
        <x:v/>
      </x:c>
      <x:c r="G110" s="7" t="str">
        <x:f t="array" ref="G110:G110">IFERROR(INDEX(창고검색범위,SMALL(IF((찾을값=창고검색),MATCH(ROW(창고검색),ROW(창고검색)),""),ROWS($A$1:F109)),COLUMNS($A$1:F109)),"")</x:f>
        <x:v/>
      </x:c>
      <x:c r="H110" s="7" t="str">
        <x:f t="array" ref="H110:H110">IFERROR(INDEX(창고검색범위,SMALL(IF((찾을값=창고검색),MATCH(ROW(창고검색),ROW(창고검색)),""),ROWS($A$1:G109)),COLUMNS($A$1:G109)),"")</x:f>
        <x:v/>
      </x:c>
      <x:c r="I110" s="119" t="str">
        <x:f t="array" ref="I110:I110">IFERROR(INDEX(창고검색범위,SMALL(IF((찾을값=창고검색),MATCH(ROW(창고검색),ROW(창고검색)),""),ROWS($A$1:H109)),COLUMNS($A$1:H109)),"")</x:f>
        <x:v/>
      </x:c>
      <x:c r="J110" s="120" t="str">
        <x:f t="array" ref="J110:J110">IFERROR(INDEX(창고검색범위,SMALL(IF((찾을값=창고검색),MATCH(ROW(창고검색),ROW(창고검색)),""),ROWS($A$1:I109)),COLUMNS($A$1:I109)),"")</x:f>
        <x:v/>
      </x:c>
    </x:row>
    <x:row r="111" spans="1:10">
      <x:c r="A111" s="173"/>
      <x:c r="B111" s="8" t="str">
        <x:f t="array" ref="B111:B111">IFERROR(INDEX(창고검색범위,SMALL(IF((찾을값=창고검색),MATCH(ROW(창고검색),ROW(창고검색)),""),ROWS($A$1:A110)),COLUMNS($A$1:A110)),"")</x:f>
        <x:v/>
      </x:c>
      <x:c r="C111" s="8" t="str">
        <x:f t="array" ref="C111:C111">IFERROR(INDEX(창고검색범위,SMALL(IF((찾을값=창고검색),MATCH(ROW(창고검색),ROW(창고검색)),""),ROWS($A$1:B110)),COLUMNS($A$1:B110)),"")</x:f>
        <x:v/>
      </x:c>
      <x:c r="D111" s="8" t="str">
        <x:f t="array" ref="D111:D111">IFERROR(INDEX(창고검색범위,SMALL(IF((찾을값=창고검색),MATCH(ROW(창고검색),ROW(창고검색)),""),ROWS($A$1:C110)),COLUMNS($A$1:C110)),"")</x:f>
        <x:v/>
      </x:c>
      <x:c r="E111" s="8" t="str">
        <x:f t="array" ref="E111:E111">IFERROR(INDEX(창고검색범위,SMALL(IF((찾을값=창고검색),MATCH(ROW(창고검색),ROW(창고검색)),""),ROWS($A$1:D110)),COLUMNS($A$1:D110)),"")</x:f>
        <x:v/>
      </x:c>
      <x:c r="F111" s="8" t="str">
        <x:f t="array" ref="F111:F111">IFERROR(INDEX(창고검색범위,SMALL(IF((찾을값=창고검색),MATCH(ROW(창고검색),ROW(창고검색)),""),ROWS($A$1:E110)),COLUMNS($A$1:E110)),"")</x:f>
        <x:v/>
      </x:c>
      <x:c r="G111" s="8" t="str">
        <x:f t="array" ref="G111:G111">IFERROR(INDEX(창고검색범위,SMALL(IF((찾을값=창고검색),MATCH(ROW(창고검색),ROW(창고검색)),""),ROWS($A$1:F110)),COLUMNS($A$1:F110)),"")</x:f>
        <x:v/>
      </x:c>
      <x:c r="H111" s="8" t="str">
        <x:f t="array" ref="H111:H111">IFERROR(INDEX(창고검색범위,SMALL(IF((찾을값=창고검색),MATCH(ROW(창고검색),ROW(창고검색)),""),ROWS($A$1:G110)),COLUMNS($A$1:G110)),"")</x:f>
        <x:v/>
      </x:c>
      <x:c r="I111" s="117" t="str">
        <x:f t="array" ref="I111:I111">IFERROR(INDEX(창고검색범위,SMALL(IF((찾을값=창고검색),MATCH(ROW(창고검색),ROW(창고검색)),""),ROWS($A$1:H110)),COLUMNS($A$1:H110)),"")</x:f>
        <x:v/>
      </x:c>
      <x:c r="J111" s="118" t="str">
        <x:f t="array" ref="J111:J111">IFERROR(INDEX(창고검색범위,SMALL(IF((찾을값=창고검색),MATCH(ROW(창고검색),ROW(창고검색)),""),ROWS($A$1:I110)),COLUMNS($A$1:I110)),"")</x:f>
        <x:v/>
      </x:c>
    </x:row>
    <x:row r="112" spans="1:10">
      <x:c r="A112" s="172"/>
      <x:c r="B112" s="7" t="str">
        <x:f t="array" ref="B112:B112">IFERROR(INDEX(창고검색범위,SMALL(IF((찾을값=창고검색),MATCH(ROW(창고검색),ROW(창고검색)),""),ROWS($A$1:A111)),COLUMNS($A$1:A111)),"")</x:f>
        <x:v/>
      </x:c>
      <x:c r="C112" s="7" t="str">
        <x:f t="array" ref="C112:C112">IFERROR(INDEX(창고검색범위,SMALL(IF((찾을값=창고검색),MATCH(ROW(창고검색),ROW(창고검색)),""),ROWS($A$1:B111)),COLUMNS($A$1:B111)),"")</x:f>
        <x:v/>
      </x:c>
      <x:c r="D112" s="7" t="str">
        <x:f t="array" ref="D112:D112">IFERROR(INDEX(창고검색범위,SMALL(IF((찾을값=창고검색),MATCH(ROW(창고검색),ROW(창고검색)),""),ROWS($A$1:C111)),COLUMNS($A$1:C111)),"")</x:f>
        <x:v/>
      </x:c>
      <x:c r="E112" s="7" t="str">
        <x:f t="array" ref="E112:E112">IFERROR(INDEX(창고검색범위,SMALL(IF((찾을값=창고검색),MATCH(ROW(창고검색),ROW(창고검색)),""),ROWS($A$1:D111)),COLUMNS($A$1:D111)),"")</x:f>
        <x:v/>
      </x:c>
      <x:c r="F112" s="7" t="str">
        <x:f t="array" ref="F112:F112">IFERROR(INDEX(창고검색범위,SMALL(IF((찾을값=창고검색),MATCH(ROW(창고검색),ROW(창고검색)),""),ROWS($A$1:E111)),COLUMNS($A$1:E111)),"")</x:f>
        <x:v/>
      </x:c>
      <x:c r="G112" s="7" t="str">
        <x:f t="array" ref="G112:G112">IFERROR(INDEX(창고검색범위,SMALL(IF((찾을값=창고검색),MATCH(ROW(창고검색),ROW(창고검색)),""),ROWS($A$1:F111)),COLUMNS($A$1:F111)),"")</x:f>
        <x:v/>
      </x:c>
      <x:c r="H112" s="7" t="str">
        <x:f t="array" ref="H112:H112">IFERROR(INDEX(창고검색범위,SMALL(IF((찾을값=창고검색),MATCH(ROW(창고검색),ROW(창고검색)),""),ROWS($A$1:G111)),COLUMNS($A$1:G111)),"")</x:f>
        <x:v/>
      </x:c>
      <x:c r="I112" s="119" t="str">
        <x:f t="array" ref="I112:I112">IFERROR(INDEX(창고검색범위,SMALL(IF((찾을값=창고검색),MATCH(ROW(창고검색),ROW(창고검색)),""),ROWS($A$1:H111)),COLUMNS($A$1:H111)),"")</x:f>
        <x:v/>
      </x:c>
      <x:c r="J112" s="120" t="str">
        <x:f t="array" ref="J112:J112">IFERROR(INDEX(창고검색범위,SMALL(IF((찾을값=창고검색),MATCH(ROW(창고검색),ROW(창고검색)),""),ROWS($A$1:I111)),COLUMNS($A$1:I111)),"")</x:f>
        <x:v/>
      </x:c>
    </x:row>
    <x:row r="113" spans="1:10">
      <x:c r="A113" s="173"/>
      <x:c r="B113" s="8" t="str">
        <x:f t="array" ref="B113:B113">IFERROR(INDEX(창고검색범위,SMALL(IF((찾을값=창고검색),MATCH(ROW(창고검색),ROW(창고검색)),""),ROWS($A$1:A112)),COLUMNS($A$1:A112)),"")</x:f>
        <x:v/>
      </x:c>
      <x:c r="C113" s="8" t="str">
        <x:f t="array" ref="C113:C113">IFERROR(INDEX(창고검색범위,SMALL(IF((찾을값=창고검색),MATCH(ROW(창고검색),ROW(창고검색)),""),ROWS($A$1:B112)),COLUMNS($A$1:B112)),"")</x:f>
        <x:v/>
      </x:c>
      <x:c r="D113" s="8" t="str">
        <x:f t="array" ref="D113:D113">IFERROR(INDEX(창고검색범위,SMALL(IF((찾을값=창고검색),MATCH(ROW(창고검색),ROW(창고검색)),""),ROWS($A$1:C112)),COLUMNS($A$1:C112)),"")</x:f>
        <x:v/>
      </x:c>
      <x:c r="E113" s="8" t="str">
        <x:f t="array" ref="E113:E113">IFERROR(INDEX(창고검색범위,SMALL(IF((찾을값=창고검색),MATCH(ROW(창고검색),ROW(창고검색)),""),ROWS($A$1:D112)),COLUMNS($A$1:D112)),"")</x:f>
        <x:v/>
      </x:c>
      <x:c r="F113" s="8" t="str">
        <x:f t="array" ref="F113:F113">IFERROR(INDEX(창고검색범위,SMALL(IF((찾을값=창고검색),MATCH(ROW(창고검색),ROW(창고검색)),""),ROWS($A$1:E112)),COLUMNS($A$1:E112)),"")</x:f>
        <x:v/>
      </x:c>
      <x:c r="G113" s="8" t="str">
        <x:f t="array" ref="G113:G113">IFERROR(INDEX(창고검색범위,SMALL(IF((찾을값=창고검색),MATCH(ROW(창고검색),ROW(창고검색)),""),ROWS($A$1:F112)),COLUMNS($A$1:F112)),"")</x:f>
        <x:v/>
      </x:c>
      <x:c r="H113" s="8" t="str">
        <x:f t="array" ref="H113:H113">IFERROR(INDEX(창고검색범위,SMALL(IF((찾을값=창고검색),MATCH(ROW(창고검색),ROW(창고검색)),""),ROWS($A$1:G112)),COLUMNS($A$1:G112)),"")</x:f>
        <x:v/>
      </x:c>
      <x:c r="I113" s="117" t="str">
        <x:f t="array" ref="I113:I113">IFERROR(INDEX(창고검색범위,SMALL(IF((찾을값=창고검색),MATCH(ROW(창고검색),ROW(창고검색)),""),ROWS($A$1:H112)),COLUMNS($A$1:H112)),"")</x:f>
        <x:v/>
      </x:c>
      <x:c r="J113" s="118" t="str">
        <x:f t="array" ref="J113:J113">IFERROR(INDEX(창고검색범위,SMALL(IF((찾을값=창고검색),MATCH(ROW(창고검색),ROW(창고검색)),""),ROWS($A$1:I112)),COLUMNS($A$1:I112)),"")</x:f>
        <x:v/>
      </x:c>
    </x:row>
    <x:row r="114" spans="1:10">
      <x:c r="A114" s="172"/>
      <x:c r="B114" s="7" t="str">
        <x:f t="array" ref="B114:B114">IFERROR(INDEX(창고검색범위,SMALL(IF((찾을값=창고검색),MATCH(ROW(창고검색),ROW(창고검색)),""),ROWS($A$1:A113)),COLUMNS($A$1:A113)),"")</x:f>
        <x:v/>
      </x:c>
      <x:c r="C114" s="7" t="str">
        <x:f t="array" ref="C114:C114">IFERROR(INDEX(창고검색범위,SMALL(IF((찾을값=창고검색),MATCH(ROW(창고검색),ROW(창고검색)),""),ROWS($A$1:B113)),COLUMNS($A$1:B113)),"")</x:f>
        <x:v/>
      </x:c>
      <x:c r="D114" s="7" t="str">
        <x:f t="array" ref="D114:D114">IFERROR(INDEX(창고검색범위,SMALL(IF((찾을값=창고검색),MATCH(ROW(창고검색),ROW(창고검색)),""),ROWS($A$1:C113)),COLUMNS($A$1:C113)),"")</x:f>
        <x:v/>
      </x:c>
      <x:c r="E114" s="7" t="str">
        <x:f t="array" ref="E114:E114">IFERROR(INDEX(창고검색범위,SMALL(IF((찾을값=창고검색),MATCH(ROW(창고검색),ROW(창고검색)),""),ROWS($A$1:D113)),COLUMNS($A$1:D113)),"")</x:f>
        <x:v/>
      </x:c>
      <x:c r="F114" s="7" t="str">
        <x:f t="array" ref="F114:F114">IFERROR(INDEX(창고검색범위,SMALL(IF((찾을값=창고검색),MATCH(ROW(창고검색),ROW(창고검색)),""),ROWS($A$1:E113)),COLUMNS($A$1:E113)),"")</x:f>
        <x:v/>
      </x:c>
      <x:c r="G114" s="7" t="str">
        <x:f t="array" ref="G114:G114">IFERROR(INDEX(창고검색범위,SMALL(IF((찾을값=창고검색),MATCH(ROW(창고검색),ROW(창고검색)),""),ROWS($A$1:F113)),COLUMNS($A$1:F113)),"")</x:f>
        <x:v/>
      </x:c>
      <x:c r="H114" s="7" t="str">
        <x:f t="array" ref="H114:H114">IFERROR(INDEX(창고검색범위,SMALL(IF((찾을값=창고검색),MATCH(ROW(창고검색),ROW(창고검색)),""),ROWS($A$1:G113)),COLUMNS($A$1:G113)),"")</x:f>
        <x:v/>
      </x:c>
      <x:c r="I114" s="119" t="str">
        <x:f t="array" ref="I114:I114">IFERROR(INDEX(창고검색범위,SMALL(IF((찾을값=창고검색),MATCH(ROW(창고검색),ROW(창고검색)),""),ROWS($A$1:H113)),COLUMNS($A$1:H113)),"")</x:f>
        <x:v/>
      </x:c>
      <x:c r="J114" s="120" t="str">
        <x:f t="array" ref="J114:J114">IFERROR(INDEX(창고검색범위,SMALL(IF((찾을값=창고검색),MATCH(ROW(창고검색),ROW(창고검색)),""),ROWS($A$1:I113)),COLUMNS($A$1:I113)),"")</x:f>
        <x:v/>
      </x:c>
    </x:row>
    <x:row r="115" spans="1:10">
      <x:c r="A115" s="173"/>
      <x:c r="B115" s="8" t="str">
        <x:f t="array" ref="B115:B115">IFERROR(INDEX(창고검색범위,SMALL(IF((찾을값=창고검색),MATCH(ROW(창고검색),ROW(창고검색)),""),ROWS($A$1:A114)),COLUMNS($A$1:A114)),"")</x:f>
        <x:v/>
      </x:c>
      <x:c r="C115" s="8" t="str">
        <x:f t="array" ref="C115:C115">IFERROR(INDEX(창고검색범위,SMALL(IF((찾을값=창고검색),MATCH(ROW(창고검색),ROW(창고검색)),""),ROWS($A$1:B114)),COLUMNS($A$1:B114)),"")</x:f>
        <x:v/>
      </x:c>
      <x:c r="D115" s="8" t="str">
        <x:f t="array" ref="D115:D115">IFERROR(INDEX(창고검색범위,SMALL(IF((찾을값=창고검색),MATCH(ROW(창고검색),ROW(창고검색)),""),ROWS($A$1:C114)),COLUMNS($A$1:C114)),"")</x:f>
        <x:v/>
      </x:c>
      <x:c r="E115" s="8" t="str">
        <x:f t="array" ref="E115:E115">IFERROR(INDEX(창고검색범위,SMALL(IF((찾을값=창고검색),MATCH(ROW(창고검색),ROW(창고검색)),""),ROWS($A$1:D114)),COLUMNS($A$1:D114)),"")</x:f>
        <x:v/>
      </x:c>
      <x:c r="F115" s="8" t="str">
        <x:f t="array" ref="F115:F115">IFERROR(INDEX(창고검색범위,SMALL(IF((찾을값=창고검색),MATCH(ROW(창고검색),ROW(창고검색)),""),ROWS($A$1:E114)),COLUMNS($A$1:E114)),"")</x:f>
        <x:v/>
      </x:c>
      <x:c r="G115" s="8" t="str">
        <x:f t="array" ref="G115:G115">IFERROR(INDEX(창고검색범위,SMALL(IF((찾을값=창고검색),MATCH(ROW(창고검색),ROW(창고검색)),""),ROWS($A$1:F114)),COLUMNS($A$1:F114)),"")</x:f>
        <x:v/>
      </x:c>
      <x:c r="H115" s="8" t="str">
        <x:f t="array" ref="H115:H115">IFERROR(INDEX(창고검색범위,SMALL(IF((찾을값=창고검색),MATCH(ROW(창고검색),ROW(창고검색)),""),ROWS($A$1:G114)),COLUMNS($A$1:G114)),"")</x:f>
        <x:v/>
      </x:c>
      <x:c r="I115" s="117" t="str">
        <x:f t="array" ref="I115:I115">IFERROR(INDEX(창고검색범위,SMALL(IF((찾을값=창고검색),MATCH(ROW(창고검색),ROW(창고검색)),""),ROWS($A$1:H114)),COLUMNS($A$1:H114)),"")</x:f>
        <x:v/>
      </x:c>
      <x:c r="J115" s="118" t="str">
        <x:f t="array" ref="J115:J115">IFERROR(INDEX(창고검색범위,SMALL(IF((찾을값=창고검색),MATCH(ROW(창고검색),ROW(창고검색)),""),ROWS($A$1:I114)),COLUMNS($A$1:I114)),"")</x:f>
        <x:v/>
      </x:c>
    </x:row>
    <x:row r="116" spans="1:10">
      <x:c r="A116" s="172"/>
      <x:c r="B116" s="7" t="str">
        <x:f t="array" ref="B116:B116">IFERROR(INDEX(창고검색범위,SMALL(IF((찾을값=창고검색),MATCH(ROW(창고검색),ROW(창고검색)),""),ROWS($A$1:A115)),COLUMNS($A$1:A115)),"")</x:f>
        <x:v/>
      </x:c>
      <x:c r="C116" s="7" t="str">
        <x:f t="array" ref="C116:C116">IFERROR(INDEX(창고검색범위,SMALL(IF((찾을값=창고검색),MATCH(ROW(창고검색),ROW(창고검색)),""),ROWS($A$1:B115)),COLUMNS($A$1:B115)),"")</x:f>
        <x:v/>
      </x:c>
      <x:c r="D116" s="7" t="str">
        <x:f t="array" ref="D116:D116">IFERROR(INDEX(창고검색범위,SMALL(IF((찾을값=창고검색),MATCH(ROW(창고검색),ROW(창고검색)),""),ROWS($A$1:C115)),COLUMNS($A$1:C115)),"")</x:f>
        <x:v/>
      </x:c>
      <x:c r="E116" s="7" t="str">
        <x:f t="array" ref="E116:E116">IFERROR(INDEX(창고검색범위,SMALL(IF((찾을값=창고검색),MATCH(ROW(창고검색),ROW(창고검색)),""),ROWS($A$1:D115)),COLUMNS($A$1:D115)),"")</x:f>
        <x:v/>
      </x:c>
      <x:c r="F116" s="7" t="str">
        <x:f t="array" ref="F116:F116">IFERROR(INDEX(창고검색범위,SMALL(IF((찾을값=창고검색),MATCH(ROW(창고검색),ROW(창고검색)),""),ROWS($A$1:E115)),COLUMNS($A$1:E115)),"")</x:f>
        <x:v/>
      </x:c>
      <x:c r="G116" s="7" t="str">
        <x:f t="array" ref="G116:G116">IFERROR(INDEX(창고검색범위,SMALL(IF((찾을값=창고검색),MATCH(ROW(창고검색),ROW(창고검색)),""),ROWS($A$1:F115)),COLUMNS($A$1:F115)),"")</x:f>
        <x:v/>
      </x:c>
      <x:c r="H116" s="7" t="str">
        <x:f t="array" ref="H116:H116">IFERROR(INDEX(창고검색범위,SMALL(IF((찾을값=창고검색),MATCH(ROW(창고검색),ROW(창고검색)),""),ROWS($A$1:G115)),COLUMNS($A$1:G115)),"")</x:f>
        <x:v/>
      </x:c>
      <x:c r="I116" s="119" t="str">
        <x:f t="array" ref="I116:I116">IFERROR(INDEX(창고검색범위,SMALL(IF((찾을값=창고검색),MATCH(ROW(창고검색),ROW(창고검색)),""),ROWS($A$1:H115)),COLUMNS($A$1:H115)),"")</x:f>
        <x:v/>
      </x:c>
      <x:c r="J116" s="120" t="str">
        <x:f t="array" ref="J116:J116">IFERROR(INDEX(창고검색범위,SMALL(IF((찾을값=창고검색),MATCH(ROW(창고검색),ROW(창고검색)),""),ROWS($A$1:I115)),COLUMNS($A$1:I115)),"")</x:f>
        <x:v/>
      </x:c>
    </x:row>
    <x:row r="117" spans="1:10">
      <x:c r="A117" s="173"/>
      <x:c r="B117" s="8" t="str">
        <x:f t="array" ref="B117:B117">IFERROR(INDEX(창고검색범위,SMALL(IF((찾을값=창고검색),MATCH(ROW(창고검색),ROW(창고검색)),""),ROWS($A$1:A116)),COLUMNS($A$1:A116)),"")</x:f>
        <x:v/>
      </x:c>
      <x:c r="C117" s="8" t="str">
        <x:f t="array" ref="C117:C117">IFERROR(INDEX(창고검색범위,SMALL(IF((찾을값=창고검색),MATCH(ROW(창고검색),ROW(창고검색)),""),ROWS($A$1:B116)),COLUMNS($A$1:B116)),"")</x:f>
        <x:v/>
      </x:c>
      <x:c r="D117" s="8" t="str">
        <x:f t="array" ref="D117:D117">IFERROR(INDEX(창고검색범위,SMALL(IF((찾을값=창고검색),MATCH(ROW(창고검색),ROW(창고검색)),""),ROWS($A$1:C116)),COLUMNS($A$1:C116)),"")</x:f>
        <x:v/>
      </x:c>
      <x:c r="E117" s="8" t="str">
        <x:f t="array" ref="E117:E117">IFERROR(INDEX(창고검색범위,SMALL(IF((찾을값=창고검색),MATCH(ROW(창고검색),ROW(창고검색)),""),ROWS($A$1:D116)),COLUMNS($A$1:D116)),"")</x:f>
        <x:v/>
      </x:c>
      <x:c r="F117" s="8" t="str">
        <x:f t="array" ref="F117:F117">IFERROR(INDEX(창고검색범위,SMALL(IF((찾을값=창고검색),MATCH(ROW(창고검색),ROW(창고검색)),""),ROWS($A$1:E116)),COLUMNS($A$1:E116)),"")</x:f>
        <x:v/>
      </x:c>
      <x:c r="G117" s="8" t="str">
        <x:f t="array" ref="G117:G117">IFERROR(INDEX(창고검색범위,SMALL(IF((찾을값=창고검색),MATCH(ROW(창고검색),ROW(창고검색)),""),ROWS($A$1:F116)),COLUMNS($A$1:F116)),"")</x:f>
        <x:v/>
      </x:c>
      <x:c r="H117" s="8" t="str">
        <x:f t="array" ref="H117:H117">IFERROR(INDEX(창고검색범위,SMALL(IF((찾을값=창고검색),MATCH(ROW(창고검색),ROW(창고검색)),""),ROWS($A$1:G116)),COLUMNS($A$1:G116)),"")</x:f>
        <x:v/>
      </x:c>
      <x:c r="I117" s="117" t="str">
        <x:f t="array" ref="I117:I117">IFERROR(INDEX(창고검색범위,SMALL(IF((찾을값=창고검색),MATCH(ROW(창고검색),ROW(창고검색)),""),ROWS($A$1:H116)),COLUMNS($A$1:H116)),"")</x:f>
        <x:v/>
      </x:c>
      <x:c r="J117" s="118" t="str">
        <x:f t="array" ref="J117:J117">IFERROR(INDEX(창고검색범위,SMALL(IF((찾을값=창고검색),MATCH(ROW(창고검색),ROW(창고검색)),""),ROWS($A$1:I116)),COLUMNS($A$1:I116)),"")</x:f>
        <x:v/>
      </x:c>
    </x:row>
    <x:row r="118" spans="1:10">
      <x:c r="A118" s="172"/>
      <x:c r="B118" s="7" t="str">
        <x:f t="array" ref="B118:B118">IFERROR(INDEX(창고검색범위,SMALL(IF((찾을값=창고검색),MATCH(ROW(창고검색),ROW(창고검색)),""),ROWS($A$1:A117)),COLUMNS($A$1:A117)),"")</x:f>
        <x:v/>
      </x:c>
      <x:c r="C118" s="7" t="str">
        <x:f t="array" ref="C118:C118">IFERROR(INDEX(창고검색범위,SMALL(IF((찾을값=창고검색),MATCH(ROW(창고검색),ROW(창고검색)),""),ROWS($A$1:B117)),COLUMNS($A$1:B117)),"")</x:f>
        <x:v/>
      </x:c>
      <x:c r="D118" s="7" t="str">
        <x:f t="array" ref="D118:D118">IFERROR(INDEX(창고검색범위,SMALL(IF((찾을값=창고검색),MATCH(ROW(창고검색),ROW(창고검색)),""),ROWS($A$1:C117)),COLUMNS($A$1:C117)),"")</x:f>
        <x:v/>
      </x:c>
      <x:c r="E118" s="7" t="str">
        <x:f t="array" ref="E118:E118">IFERROR(INDEX(창고검색범위,SMALL(IF((찾을값=창고검색),MATCH(ROW(창고검색),ROW(창고검색)),""),ROWS($A$1:D117)),COLUMNS($A$1:D117)),"")</x:f>
        <x:v/>
      </x:c>
      <x:c r="F118" s="7" t="str">
        <x:f t="array" ref="F118:F118">IFERROR(INDEX(창고검색범위,SMALL(IF((찾을값=창고검색),MATCH(ROW(창고검색),ROW(창고검색)),""),ROWS($A$1:E117)),COLUMNS($A$1:E117)),"")</x:f>
        <x:v/>
      </x:c>
      <x:c r="G118" s="7" t="str">
        <x:f t="array" ref="G118:G118">IFERROR(INDEX(창고검색범위,SMALL(IF((찾을값=창고검색),MATCH(ROW(창고검색),ROW(창고검색)),""),ROWS($A$1:F117)),COLUMNS($A$1:F117)),"")</x:f>
        <x:v/>
      </x:c>
      <x:c r="H118" s="7" t="str">
        <x:f t="array" ref="H118:H118">IFERROR(INDEX(창고검색범위,SMALL(IF((찾을값=창고검색),MATCH(ROW(창고검색),ROW(창고검색)),""),ROWS($A$1:G117)),COLUMNS($A$1:G117)),"")</x:f>
        <x:v/>
      </x:c>
      <x:c r="I118" s="119" t="str">
        <x:f t="array" ref="I118:I118">IFERROR(INDEX(창고검색범위,SMALL(IF((찾을값=창고검색),MATCH(ROW(창고검색),ROW(창고검색)),""),ROWS($A$1:H117)),COLUMNS($A$1:H117)),"")</x:f>
        <x:v/>
      </x:c>
      <x:c r="J118" s="120" t="str">
        <x:f t="array" ref="J118:J118">IFERROR(INDEX(창고검색범위,SMALL(IF((찾을값=창고검색),MATCH(ROW(창고검색),ROW(창고검색)),""),ROWS($A$1:I117)),COLUMNS($A$1:I117)),"")</x:f>
        <x:v/>
      </x:c>
    </x:row>
    <x:row r="119" spans="1:10">
      <x:c r="A119" s="173"/>
      <x:c r="B119" s="8" t="str">
        <x:f t="array" ref="B119:B119">IFERROR(INDEX(창고검색범위,SMALL(IF((찾을값=창고검색),MATCH(ROW(창고검색),ROW(창고검색)),""),ROWS($A$1:A118)),COLUMNS($A$1:A118)),"")</x:f>
        <x:v/>
      </x:c>
      <x:c r="C119" s="8" t="str">
        <x:f t="array" ref="C119:C119">IFERROR(INDEX(창고검색범위,SMALL(IF((찾을값=창고검색),MATCH(ROW(창고검색),ROW(창고검색)),""),ROWS($A$1:B118)),COLUMNS($A$1:B118)),"")</x:f>
        <x:v/>
      </x:c>
      <x:c r="D119" s="8" t="str">
        <x:f t="array" ref="D119:D119">IFERROR(INDEX(창고검색범위,SMALL(IF((찾을값=창고검색),MATCH(ROW(창고검색),ROW(창고검색)),""),ROWS($A$1:C118)),COLUMNS($A$1:C118)),"")</x:f>
        <x:v/>
      </x:c>
      <x:c r="E119" s="8" t="str">
        <x:f t="array" ref="E119:E119">IFERROR(INDEX(창고검색범위,SMALL(IF((찾을값=창고검색),MATCH(ROW(창고검색),ROW(창고검색)),""),ROWS($A$1:D118)),COLUMNS($A$1:D118)),"")</x:f>
        <x:v/>
      </x:c>
      <x:c r="F119" s="8" t="str">
        <x:f t="array" ref="F119:F119">IFERROR(INDEX(창고검색범위,SMALL(IF((찾을값=창고검색),MATCH(ROW(창고검색),ROW(창고검색)),""),ROWS($A$1:E118)),COLUMNS($A$1:E118)),"")</x:f>
        <x:v/>
      </x:c>
      <x:c r="G119" s="8" t="str">
        <x:f t="array" ref="G119:G119">IFERROR(INDEX(창고검색범위,SMALL(IF((찾을값=창고검색),MATCH(ROW(창고검색),ROW(창고검색)),""),ROWS($A$1:F118)),COLUMNS($A$1:F118)),"")</x:f>
        <x:v/>
      </x:c>
      <x:c r="H119" s="8" t="str">
        <x:f t="array" ref="H119:H119">IFERROR(INDEX(창고검색범위,SMALL(IF((찾을값=창고검색),MATCH(ROW(창고검색),ROW(창고검색)),""),ROWS($A$1:G118)),COLUMNS($A$1:G118)),"")</x:f>
        <x:v/>
      </x:c>
      <x:c r="I119" s="117" t="str">
        <x:f t="array" ref="I119:I119">IFERROR(INDEX(창고검색범위,SMALL(IF((찾을값=창고검색),MATCH(ROW(창고검색),ROW(창고검색)),""),ROWS($A$1:H118)),COLUMNS($A$1:H118)),"")</x:f>
        <x:v/>
      </x:c>
      <x:c r="J119" s="118" t="str">
        <x:f t="array" ref="J119:J119">IFERROR(INDEX(창고검색범위,SMALL(IF((찾을값=창고검색),MATCH(ROW(창고검색),ROW(창고검색)),""),ROWS($A$1:I118)),COLUMNS($A$1:I118)),"")</x:f>
        <x:v/>
      </x:c>
    </x:row>
    <x:row r="120" spans="1:10">
      <x:c r="A120" s="172"/>
      <x:c r="B120" s="7" t="str">
        <x:f t="array" ref="B120:B120">IFERROR(INDEX(창고검색범위,SMALL(IF((찾을값=창고검색),MATCH(ROW(창고검색),ROW(창고검색)),""),ROWS($A$1:A119)),COLUMNS($A$1:A119)),"")</x:f>
        <x:v/>
      </x:c>
      <x:c r="C120" s="7" t="str">
        <x:f t="array" ref="C120:C120">IFERROR(INDEX(창고검색범위,SMALL(IF((찾을값=창고검색),MATCH(ROW(창고검색),ROW(창고검색)),""),ROWS($A$1:B119)),COLUMNS($A$1:B119)),"")</x:f>
        <x:v/>
      </x:c>
      <x:c r="D120" s="7" t="str">
        <x:f t="array" ref="D120:D120">IFERROR(INDEX(창고검색범위,SMALL(IF((찾을값=창고검색),MATCH(ROW(창고검색),ROW(창고검색)),""),ROWS($A$1:C119)),COLUMNS($A$1:C119)),"")</x:f>
        <x:v/>
      </x:c>
      <x:c r="E120" s="7" t="str">
        <x:f t="array" ref="E120:E120">IFERROR(INDEX(창고검색범위,SMALL(IF((찾을값=창고검색),MATCH(ROW(창고검색),ROW(창고검색)),""),ROWS($A$1:D119)),COLUMNS($A$1:D119)),"")</x:f>
        <x:v/>
      </x:c>
      <x:c r="F120" s="7" t="str">
        <x:f t="array" ref="F120:F120">IFERROR(INDEX(창고검색범위,SMALL(IF((찾을값=창고검색),MATCH(ROW(창고검색),ROW(창고검색)),""),ROWS($A$1:E119)),COLUMNS($A$1:E119)),"")</x:f>
        <x:v/>
      </x:c>
      <x:c r="G120" s="7" t="str">
        <x:f t="array" ref="G120:G120">IFERROR(INDEX(창고검색범위,SMALL(IF((찾을값=창고검색),MATCH(ROW(창고검색),ROW(창고검색)),""),ROWS($A$1:F119)),COLUMNS($A$1:F119)),"")</x:f>
        <x:v/>
      </x:c>
      <x:c r="H120" s="7" t="str">
        <x:f t="array" ref="H120:H120">IFERROR(INDEX(창고검색범위,SMALL(IF((찾을값=창고검색),MATCH(ROW(창고검색),ROW(창고검색)),""),ROWS($A$1:G119)),COLUMNS($A$1:G119)),"")</x:f>
        <x:v/>
      </x:c>
      <x:c r="I120" s="119" t="str">
        <x:f t="array" ref="I120:I120">IFERROR(INDEX(창고검색범위,SMALL(IF((찾을값=창고검색),MATCH(ROW(창고검색),ROW(창고검색)),""),ROWS($A$1:H119)),COLUMNS($A$1:H119)),"")</x:f>
        <x:v/>
      </x:c>
      <x:c r="J120" s="120" t="str">
        <x:f t="array" ref="J120:J120">IFERROR(INDEX(창고검색범위,SMALL(IF((찾을값=창고검색),MATCH(ROW(창고검색),ROW(창고검색)),""),ROWS($A$1:I119)),COLUMNS($A$1:I119)),"")</x:f>
        <x:v/>
      </x:c>
    </x:row>
    <x:row r="121" spans="1:10">
      <x:c r="A121" s="173"/>
      <x:c r="B121" s="8" t="str">
        <x:f t="array" ref="B121:B121">IFERROR(INDEX(창고검색범위,SMALL(IF((찾을값=창고검색),MATCH(ROW(창고검색),ROW(창고검색)),""),ROWS($A$1:A120)),COLUMNS($A$1:A120)),"")</x:f>
        <x:v/>
      </x:c>
      <x:c r="C121" s="8" t="str">
        <x:f t="array" ref="C121:C121">IFERROR(INDEX(창고검색범위,SMALL(IF((찾을값=창고검색),MATCH(ROW(창고검색),ROW(창고검색)),""),ROWS($A$1:B120)),COLUMNS($A$1:B120)),"")</x:f>
        <x:v/>
      </x:c>
      <x:c r="D121" s="8" t="str">
        <x:f t="array" ref="D121:D121">IFERROR(INDEX(창고검색범위,SMALL(IF((찾을값=창고검색),MATCH(ROW(창고검색),ROW(창고검색)),""),ROWS($A$1:C120)),COLUMNS($A$1:C120)),"")</x:f>
        <x:v/>
      </x:c>
      <x:c r="E121" s="8" t="str">
        <x:f t="array" ref="E121:E121">IFERROR(INDEX(창고검색범위,SMALL(IF((찾을값=창고검색),MATCH(ROW(창고검색),ROW(창고검색)),""),ROWS($A$1:D120)),COLUMNS($A$1:D120)),"")</x:f>
        <x:v/>
      </x:c>
      <x:c r="F121" s="8" t="str">
        <x:f t="array" ref="F121:F121">IFERROR(INDEX(창고검색범위,SMALL(IF((찾을값=창고검색),MATCH(ROW(창고검색),ROW(창고검색)),""),ROWS($A$1:E120)),COLUMNS($A$1:E120)),"")</x:f>
        <x:v/>
      </x:c>
      <x:c r="G121" s="8" t="str">
        <x:f t="array" ref="G121:G121">IFERROR(INDEX(창고검색범위,SMALL(IF((찾을값=창고검색),MATCH(ROW(창고검색),ROW(창고검색)),""),ROWS($A$1:F120)),COLUMNS($A$1:F120)),"")</x:f>
        <x:v/>
      </x:c>
      <x:c r="H121" s="8" t="str">
        <x:f t="array" ref="H121:H121">IFERROR(INDEX(창고검색범위,SMALL(IF((찾을값=창고검색),MATCH(ROW(창고검색),ROW(창고검색)),""),ROWS($A$1:G120)),COLUMNS($A$1:G120)),"")</x:f>
        <x:v/>
      </x:c>
      <x:c r="I121" s="117" t="str">
        <x:f t="array" ref="I121:I121">IFERROR(INDEX(창고검색범위,SMALL(IF((찾을값=창고검색),MATCH(ROW(창고검색),ROW(창고검색)),""),ROWS($A$1:H120)),COLUMNS($A$1:H120)),"")</x:f>
        <x:v/>
      </x:c>
      <x:c r="J121" s="118" t="str">
        <x:f t="array" ref="J121:J121">IFERROR(INDEX(창고검색범위,SMALL(IF((찾을값=창고검색),MATCH(ROW(창고검색),ROW(창고검색)),""),ROWS($A$1:I120)),COLUMNS($A$1:I120)),"")</x:f>
        <x:v/>
      </x:c>
    </x:row>
    <x:row r="122" spans="1:10">
      <x:c r="A122" s="172"/>
      <x:c r="B122" s="7" t="str">
        <x:f t="array" ref="B122:B122">IFERROR(INDEX(창고검색범위,SMALL(IF((찾을값=창고검색),MATCH(ROW(창고검색),ROW(창고검색)),""),ROWS($A$1:A121)),COLUMNS($A$1:A121)),"")</x:f>
        <x:v/>
      </x:c>
      <x:c r="C122" s="7" t="str">
        <x:f t="array" ref="C122:C122">IFERROR(INDEX(창고검색범위,SMALL(IF((찾을값=창고검색),MATCH(ROW(창고검색),ROW(창고검색)),""),ROWS($A$1:B121)),COLUMNS($A$1:B121)),"")</x:f>
        <x:v/>
      </x:c>
      <x:c r="D122" s="7" t="str">
        <x:f t="array" ref="D122:D122">IFERROR(INDEX(창고검색범위,SMALL(IF((찾을값=창고검색),MATCH(ROW(창고검색),ROW(창고검색)),""),ROWS($A$1:C121)),COLUMNS($A$1:C121)),"")</x:f>
        <x:v/>
      </x:c>
      <x:c r="E122" s="7" t="str">
        <x:f t="array" ref="E122:E122">IFERROR(INDEX(창고검색범위,SMALL(IF((찾을값=창고검색),MATCH(ROW(창고검색),ROW(창고검색)),""),ROWS($A$1:D121)),COLUMNS($A$1:D121)),"")</x:f>
        <x:v/>
      </x:c>
      <x:c r="F122" s="7" t="str">
        <x:f t="array" ref="F122:F122">IFERROR(INDEX(창고검색범위,SMALL(IF((찾을값=창고검색),MATCH(ROW(창고검색),ROW(창고검색)),""),ROWS($A$1:E121)),COLUMNS($A$1:E121)),"")</x:f>
        <x:v/>
      </x:c>
      <x:c r="G122" s="7" t="str">
        <x:f t="array" ref="G122:G122">IFERROR(INDEX(창고검색범위,SMALL(IF((찾을값=창고검색),MATCH(ROW(창고검색),ROW(창고검색)),""),ROWS($A$1:F121)),COLUMNS($A$1:F121)),"")</x:f>
        <x:v/>
      </x:c>
      <x:c r="H122" s="7" t="str">
        <x:f t="array" ref="H122:H122">IFERROR(INDEX(창고검색범위,SMALL(IF((찾을값=창고검색),MATCH(ROW(창고검색),ROW(창고검색)),""),ROWS($A$1:G121)),COLUMNS($A$1:G121)),"")</x:f>
        <x:v/>
      </x:c>
      <x:c r="I122" s="119" t="str">
        <x:f t="array" ref="I122:I122">IFERROR(INDEX(창고검색범위,SMALL(IF((찾을값=창고검색),MATCH(ROW(창고검색),ROW(창고검색)),""),ROWS($A$1:H121)),COLUMNS($A$1:H121)),"")</x:f>
        <x:v/>
      </x:c>
      <x:c r="J122" s="120" t="str">
        <x:f t="array" ref="J122:J122">IFERROR(INDEX(창고검색범위,SMALL(IF((찾을값=창고검색),MATCH(ROW(창고검색),ROW(창고검색)),""),ROWS($A$1:I121)),COLUMNS($A$1:I121)),"")</x:f>
        <x:v/>
      </x:c>
    </x:row>
    <x:row r="123" spans="1:10">
      <x:c r="A123" s="173"/>
      <x:c r="B123" s="8" t="str">
        <x:f t="array" ref="B123:B123">IFERROR(INDEX(창고검색범위,SMALL(IF((찾을값=창고검색),MATCH(ROW(창고검색),ROW(창고검색)),""),ROWS($A$1:A122)),COLUMNS($A$1:A122)),"")</x:f>
        <x:v/>
      </x:c>
      <x:c r="C123" s="8" t="str">
        <x:f t="array" ref="C123:C123">IFERROR(INDEX(창고검색범위,SMALL(IF((찾을값=창고검색),MATCH(ROW(창고검색),ROW(창고검색)),""),ROWS($A$1:B122)),COLUMNS($A$1:B122)),"")</x:f>
        <x:v/>
      </x:c>
      <x:c r="D123" s="8" t="str">
        <x:f t="array" ref="D123:D123">IFERROR(INDEX(창고검색범위,SMALL(IF((찾을값=창고검색),MATCH(ROW(창고검색),ROW(창고검색)),""),ROWS($A$1:C122)),COLUMNS($A$1:C122)),"")</x:f>
        <x:v/>
      </x:c>
      <x:c r="E123" s="8" t="str">
        <x:f t="array" ref="E123:E123">IFERROR(INDEX(창고검색범위,SMALL(IF((찾을값=창고검색),MATCH(ROW(창고검색),ROW(창고검색)),""),ROWS($A$1:D122)),COLUMNS($A$1:D122)),"")</x:f>
        <x:v/>
      </x:c>
      <x:c r="F123" s="8" t="str">
        <x:f t="array" ref="F123:F123">IFERROR(INDEX(창고검색범위,SMALL(IF((찾을값=창고검색),MATCH(ROW(창고검색),ROW(창고검색)),""),ROWS($A$1:E122)),COLUMNS($A$1:E122)),"")</x:f>
        <x:v/>
      </x:c>
      <x:c r="G123" s="8" t="str">
        <x:f t="array" ref="G123:G123">IFERROR(INDEX(창고검색범위,SMALL(IF((찾을값=창고검색),MATCH(ROW(창고검색),ROW(창고검색)),""),ROWS($A$1:F122)),COLUMNS($A$1:F122)),"")</x:f>
        <x:v/>
      </x:c>
      <x:c r="H123" s="8" t="str">
        <x:f t="array" ref="H123:H123">IFERROR(INDEX(창고검색범위,SMALL(IF((찾을값=창고검색),MATCH(ROW(창고검색),ROW(창고검색)),""),ROWS($A$1:G122)),COLUMNS($A$1:G122)),"")</x:f>
        <x:v/>
      </x:c>
      <x:c r="I123" s="117" t="str">
        <x:f t="array" ref="I123:I123">IFERROR(INDEX(창고검색범위,SMALL(IF((찾을값=창고검색),MATCH(ROW(창고검색),ROW(창고검색)),""),ROWS($A$1:H122)),COLUMNS($A$1:H122)),"")</x:f>
        <x:v/>
      </x:c>
      <x:c r="J123" s="118" t="str">
        <x:f t="array" ref="J123:J123">IFERROR(INDEX(창고검색범위,SMALL(IF((찾을값=창고검색),MATCH(ROW(창고검색),ROW(창고검색)),""),ROWS($A$1:I122)),COLUMNS($A$1:I122)),"")</x:f>
        <x:v/>
      </x:c>
    </x:row>
    <x:row r="124" spans="1:10">
      <x:c r="A124" s="172"/>
      <x:c r="B124" s="7" t="str">
        <x:f t="array" ref="B124:B124">IFERROR(INDEX(창고검색범위,SMALL(IF((찾을값=창고검색),MATCH(ROW(창고검색),ROW(창고검색)),""),ROWS($A$1:A123)),COLUMNS($A$1:A123)),"")</x:f>
        <x:v/>
      </x:c>
      <x:c r="C124" s="7" t="str">
        <x:f t="array" ref="C124:C124">IFERROR(INDEX(창고검색범위,SMALL(IF((찾을값=창고검색),MATCH(ROW(창고검색),ROW(창고검색)),""),ROWS($A$1:B123)),COLUMNS($A$1:B123)),"")</x:f>
        <x:v/>
      </x:c>
      <x:c r="D124" s="7" t="str">
        <x:f t="array" ref="D124:D124">IFERROR(INDEX(창고검색범위,SMALL(IF((찾을값=창고검색),MATCH(ROW(창고검색),ROW(창고검색)),""),ROWS($A$1:C123)),COLUMNS($A$1:C123)),"")</x:f>
        <x:v/>
      </x:c>
      <x:c r="E124" s="7" t="str">
        <x:f t="array" ref="E124:E124">IFERROR(INDEX(창고검색범위,SMALL(IF((찾을값=창고검색),MATCH(ROW(창고검색),ROW(창고검색)),""),ROWS($A$1:D123)),COLUMNS($A$1:D123)),"")</x:f>
        <x:v/>
      </x:c>
      <x:c r="F124" s="7" t="str">
        <x:f t="array" ref="F124:F124">IFERROR(INDEX(창고검색범위,SMALL(IF((찾을값=창고검색),MATCH(ROW(창고검색),ROW(창고검색)),""),ROWS($A$1:E123)),COLUMNS($A$1:E123)),"")</x:f>
        <x:v/>
      </x:c>
      <x:c r="G124" s="7" t="str">
        <x:f t="array" ref="G124:G124">IFERROR(INDEX(창고검색범위,SMALL(IF((찾을값=창고검색),MATCH(ROW(창고검색),ROW(창고검색)),""),ROWS($A$1:F123)),COLUMNS($A$1:F123)),"")</x:f>
        <x:v/>
      </x:c>
      <x:c r="H124" s="7" t="str">
        <x:f t="array" ref="H124:H124">IFERROR(INDEX(창고검색범위,SMALL(IF((찾을값=창고검색),MATCH(ROW(창고검색),ROW(창고검색)),""),ROWS($A$1:G123)),COLUMNS($A$1:G123)),"")</x:f>
        <x:v/>
      </x:c>
      <x:c r="I124" s="119" t="str">
        <x:f t="array" ref="I124:I124">IFERROR(INDEX(창고검색범위,SMALL(IF((찾을값=창고검색),MATCH(ROW(창고검색),ROW(창고검색)),""),ROWS($A$1:H123)),COLUMNS($A$1:H123)),"")</x:f>
        <x:v/>
      </x:c>
      <x:c r="J124" s="120" t="str">
        <x:f t="array" ref="J124:J124">IFERROR(INDEX(창고검색범위,SMALL(IF((찾을값=창고검색),MATCH(ROW(창고검색),ROW(창고검색)),""),ROWS($A$1:I123)),COLUMNS($A$1:I123)),"")</x:f>
        <x:v/>
      </x:c>
    </x:row>
    <x:row r="125" spans="1:10">
      <x:c r="A125" s="173"/>
      <x:c r="B125" s="8" t="str">
        <x:f t="array" ref="B125:B125">IFERROR(INDEX(창고검색범위,SMALL(IF((찾을값=창고검색),MATCH(ROW(창고검색),ROW(창고검색)),""),ROWS($A$1:A124)),COLUMNS($A$1:A124)),"")</x:f>
        <x:v/>
      </x:c>
      <x:c r="C125" s="8" t="str">
        <x:f t="array" ref="C125:C125">IFERROR(INDEX(창고검색범위,SMALL(IF((찾을값=창고검색),MATCH(ROW(창고검색),ROW(창고검색)),""),ROWS($A$1:B124)),COLUMNS($A$1:B124)),"")</x:f>
        <x:v/>
      </x:c>
      <x:c r="D125" s="8" t="str">
        <x:f t="array" ref="D125:D125">IFERROR(INDEX(창고검색범위,SMALL(IF((찾을값=창고검색),MATCH(ROW(창고검색),ROW(창고검색)),""),ROWS($A$1:C124)),COLUMNS($A$1:C124)),"")</x:f>
        <x:v/>
      </x:c>
      <x:c r="E125" s="8" t="str">
        <x:f t="array" ref="E125:E125">IFERROR(INDEX(창고검색범위,SMALL(IF((찾을값=창고검색),MATCH(ROW(창고검색),ROW(창고검색)),""),ROWS($A$1:D124)),COLUMNS($A$1:D124)),"")</x:f>
        <x:v/>
      </x:c>
      <x:c r="F125" s="8" t="str">
        <x:f t="array" ref="F125:F125">IFERROR(INDEX(창고검색범위,SMALL(IF((찾을값=창고검색),MATCH(ROW(창고검색),ROW(창고검색)),""),ROWS($A$1:E124)),COLUMNS($A$1:E124)),"")</x:f>
        <x:v/>
      </x:c>
      <x:c r="G125" s="8" t="str">
        <x:f t="array" ref="G125:G125">IFERROR(INDEX(창고검색범위,SMALL(IF((찾을값=창고검색),MATCH(ROW(창고검색),ROW(창고검색)),""),ROWS($A$1:F124)),COLUMNS($A$1:F124)),"")</x:f>
        <x:v/>
      </x:c>
      <x:c r="H125" s="8" t="str">
        <x:f t="array" ref="H125:H125">IFERROR(INDEX(창고검색범위,SMALL(IF((찾을값=창고검색),MATCH(ROW(창고검색),ROW(창고검색)),""),ROWS($A$1:G124)),COLUMNS($A$1:G124)),"")</x:f>
        <x:v/>
      </x:c>
      <x:c r="I125" s="117" t="str">
        <x:f t="array" ref="I125:I125">IFERROR(INDEX(창고검색범위,SMALL(IF((찾을값=창고검색),MATCH(ROW(창고검색),ROW(창고검색)),""),ROWS($A$1:H124)),COLUMNS($A$1:H124)),"")</x:f>
        <x:v/>
      </x:c>
      <x:c r="J125" s="118" t="str">
        <x:f t="array" ref="J125:J125">IFERROR(INDEX(창고검색범위,SMALL(IF((찾을값=창고검색),MATCH(ROW(창고검색),ROW(창고검색)),""),ROWS($A$1:I124)),COLUMNS($A$1:I124)),"")</x:f>
        <x:v/>
      </x:c>
    </x:row>
    <x:row r="126" spans="1:10">
      <x:c r="A126" s="172"/>
      <x:c r="B126" s="7" t="str">
        <x:f t="array" ref="B126:B126">IFERROR(INDEX(창고검색범위,SMALL(IF((찾을값=창고검색),MATCH(ROW(창고검색),ROW(창고검색)),""),ROWS($A$1:A125)),COLUMNS($A$1:A125)),"")</x:f>
        <x:v/>
      </x:c>
      <x:c r="C126" s="7" t="str">
        <x:f t="array" ref="C126:C126">IFERROR(INDEX(창고검색범위,SMALL(IF((찾을값=창고검색),MATCH(ROW(창고검색),ROW(창고검색)),""),ROWS($A$1:B125)),COLUMNS($A$1:B125)),"")</x:f>
        <x:v/>
      </x:c>
      <x:c r="D126" s="7" t="str">
        <x:f t="array" ref="D126:D126">IFERROR(INDEX(창고검색범위,SMALL(IF((찾을값=창고검색),MATCH(ROW(창고검색),ROW(창고검색)),""),ROWS($A$1:C125)),COLUMNS($A$1:C125)),"")</x:f>
        <x:v/>
      </x:c>
      <x:c r="E126" s="7" t="str">
        <x:f t="array" ref="E126:E126">IFERROR(INDEX(창고검색범위,SMALL(IF((찾을값=창고검색),MATCH(ROW(창고검색),ROW(창고검색)),""),ROWS($A$1:D125)),COLUMNS($A$1:D125)),"")</x:f>
        <x:v/>
      </x:c>
      <x:c r="F126" s="7" t="str">
        <x:f t="array" ref="F126:F126">IFERROR(INDEX(창고검색범위,SMALL(IF((찾을값=창고검색),MATCH(ROW(창고검색),ROW(창고검색)),""),ROWS($A$1:E125)),COLUMNS($A$1:E125)),"")</x:f>
        <x:v/>
      </x:c>
      <x:c r="G126" s="7" t="str">
        <x:f t="array" ref="G126:G126">IFERROR(INDEX(창고검색범위,SMALL(IF((찾을값=창고검색),MATCH(ROW(창고검색),ROW(창고검색)),""),ROWS($A$1:F125)),COLUMNS($A$1:F125)),"")</x:f>
        <x:v/>
      </x:c>
      <x:c r="H126" s="7" t="str">
        <x:f t="array" ref="H126:H126">IFERROR(INDEX(창고검색범위,SMALL(IF((찾을값=창고검색),MATCH(ROW(창고검색),ROW(창고검색)),""),ROWS($A$1:G125)),COLUMNS($A$1:G125)),"")</x:f>
        <x:v/>
      </x:c>
      <x:c r="I126" s="119" t="str">
        <x:f t="array" ref="I126:I126">IFERROR(INDEX(창고검색범위,SMALL(IF((찾을값=창고검색),MATCH(ROW(창고검색),ROW(창고검색)),""),ROWS($A$1:H125)),COLUMNS($A$1:H125)),"")</x:f>
        <x:v/>
      </x:c>
      <x:c r="J126" s="120" t="str">
        <x:f t="array" ref="J126:J126">IFERROR(INDEX(창고검색범위,SMALL(IF((찾을값=창고검색),MATCH(ROW(창고검색),ROW(창고검색)),""),ROWS($A$1:I125)),COLUMNS($A$1:I125)),"")</x:f>
        <x:v/>
      </x:c>
    </x:row>
    <x:row r="127" spans="1:10">
      <x:c r="A127" s="173"/>
      <x:c r="B127" s="8" t="str">
        <x:f t="array" ref="B127:B127">IFERROR(INDEX(창고검색범위,SMALL(IF((찾을값=창고검색),MATCH(ROW(창고검색),ROW(창고검색)),""),ROWS($A$1:A126)),COLUMNS($A$1:A126)),"")</x:f>
        <x:v/>
      </x:c>
      <x:c r="C127" s="8" t="str">
        <x:f t="array" ref="C127:C127">IFERROR(INDEX(창고검색범위,SMALL(IF((찾을값=창고검색),MATCH(ROW(창고검색),ROW(창고검색)),""),ROWS($A$1:B126)),COLUMNS($A$1:B126)),"")</x:f>
        <x:v/>
      </x:c>
      <x:c r="D127" s="8" t="str">
        <x:f t="array" ref="D127:D127">IFERROR(INDEX(창고검색범위,SMALL(IF((찾을값=창고검색),MATCH(ROW(창고검색),ROW(창고검색)),""),ROWS($A$1:C126)),COLUMNS($A$1:C126)),"")</x:f>
        <x:v/>
      </x:c>
      <x:c r="E127" s="8" t="str">
        <x:f t="array" ref="E127:E127">IFERROR(INDEX(창고검색범위,SMALL(IF((찾을값=창고검색),MATCH(ROW(창고검색),ROW(창고검색)),""),ROWS($A$1:D126)),COLUMNS($A$1:D126)),"")</x:f>
        <x:v/>
      </x:c>
      <x:c r="F127" s="8" t="str">
        <x:f t="array" ref="F127:F127">IFERROR(INDEX(창고검색범위,SMALL(IF((찾을값=창고검색),MATCH(ROW(창고검색),ROW(창고검색)),""),ROWS($A$1:E126)),COLUMNS($A$1:E126)),"")</x:f>
        <x:v/>
      </x:c>
      <x:c r="G127" s="8" t="str">
        <x:f t="array" ref="G127:G127">IFERROR(INDEX(창고검색범위,SMALL(IF((찾을값=창고검색),MATCH(ROW(창고검색),ROW(창고검색)),""),ROWS($A$1:F126)),COLUMNS($A$1:F126)),"")</x:f>
        <x:v/>
      </x:c>
      <x:c r="H127" s="8" t="str">
        <x:f t="array" ref="H127:H127">IFERROR(INDEX(창고검색범위,SMALL(IF((찾을값=창고검색),MATCH(ROW(창고검색),ROW(창고검색)),""),ROWS($A$1:G126)),COLUMNS($A$1:G126)),"")</x:f>
        <x:v/>
      </x:c>
      <x:c r="I127" s="117" t="str">
        <x:f t="array" ref="I127:I127">IFERROR(INDEX(창고검색범위,SMALL(IF((찾을값=창고검색),MATCH(ROW(창고검색),ROW(창고검색)),""),ROWS($A$1:H126)),COLUMNS($A$1:H126)),"")</x:f>
        <x:v/>
      </x:c>
      <x:c r="J127" s="118" t="str">
        <x:f t="array" ref="J127:J127">IFERROR(INDEX(창고검색범위,SMALL(IF((찾을값=창고검색),MATCH(ROW(창고검색),ROW(창고검색)),""),ROWS($A$1:I126)),COLUMNS($A$1:I126)),"")</x:f>
        <x:v/>
      </x:c>
    </x:row>
    <x:row r="128" spans="1:10">
      <x:c r="A128" s="172"/>
      <x:c r="B128" s="7" t="str">
        <x:f t="array" ref="B128:B128">IFERROR(INDEX(창고검색범위,SMALL(IF((찾을값=창고검색),MATCH(ROW(창고검색),ROW(창고검색)),""),ROWS($A$1:A127)),COLUMNS($A$1:A127)),"")</x:f>
        <x:v/>
      </x:c>
      <x:c r="C128" s="7" t="str">
        <x:f t="array" ref="C128:C128">IFERROR(INDEX(창고검색범위,SMALL(IF((찾을값=창고검색),MATCH(ROW(창고검색),ROW(창고검색)),""),ROWS($A$1:B127)),COLUMNS($A$1:B127)),"")</x:f>
        <x:v/>
      </x:c>
      <x:c r="D128" s="7" t="str">
        <x:f t="array" ref="D128:D128">IFERROR(INDEX(창고검색범위,SMALL(IF((찾을값=창고검색),MATCH(ROW(창고검색),ROW(창고검색)),""),ROWS($A$1:C127)),COLUMNS($A$1:C127)),"")</x:f>
        <x:v/>
      </x:c>
      <x:c r="E128" s="7" t="str">
        <x:f t="array" ref="E128:E128">IFERROR(INDEX(창고검색범위,SMALL(IF((찾을값=창고검색),MATCH(ROW(창고검색),ROW(창고검색)),""),ROWS($A$1:D127)),COLUMNS($A$1:D127)),"")</x:f>
        <x:v/>
      </x:c>
      <x:c r="F128" s="7" t="str">
        <x:f t="array" ref="F128:F128">IFERROR(INDEX(창고검색범위,SMALL(IF((찾을값=창고검색),MATCH(ROW(창고검색),ROW(창고검색)),""),ROWS($A$1:E127)),COLUMNS($A$1:E127)),"")</x:f>
        <x:v/>
      </x:c>
      <x:c r="G128" s="7" t="str">
        <x:f t="array" ref="G128:G128">IFERROR(INDEX(창고검색범위,SMALL(IF((찾을값=창고검색),MATCH(ROW(창고검색),ROW(창고검색)),""),ROWS($A$1:F127)),COLUMNS($A$1:F127)),"")</x:f>
        <x:v/>
      </x:c>
      <x:c r="H128" s="7" t="str">
        <x:f t="array" ref="H128:H128">IFERROR(INDEX(창고검색범위,SMALL(IF((찾을값=창고검색),MATCH(ROW(창고검색),ROW(창고검색)),""),ROWS($A$1:G127)),COLUMNS($A$1:G127)),"")</x:f>
        <x:v/>
      </x:c>
      <x:c r="I128" s="119" t="str">
        <x:f t="array" ref="I128:I128">IFERROR(INDEX(창고검색범위,SMALL(IF((찾을값=창고검색),MATCH(ROW(창고검색),ROW(창고검색)),""),ROWS($A$1:H127)),COLUMNS($A$1:H127)),"")</x:f>
        <x:v/>
      </x:c>
      <x:c r="J128" s="120" t="str">
        <x:f t="array" ref="J128:J128">IFERROR(INDEX(창고검색범위,SMALL(IF((찾을값=창고검색),MATCH(ROW(창고검색),ROW(창고검색)),""),ROWS($A$1:I127)),COLUMNS($A$1:I127)),"")</x:f>
        <x:v/>
      </x:c>
    </x:row>
    <x:row r="129" spans="1:10">
      <x:c r="A129" s="173"/>
      <x:c r="B129" s="8" t="str">
        <x:f t="array" ref="B129:B129">IFERROR(INDEX(창고검색범위,SMALL(IF((찾을값=창고검색),MATCH(ROW(창고검색),ROW(창고검색)),""),ROWS($A$1:A128)),COLUMNS($A$1:A128)),"")</x:f>
        <x:v/>
      </x:c>
      <x:c r="C129" s="8" t="str">
        <x:f t="array" ref="C129:C129">IFERROR(INDEX(창고검색범위,SMALL(IF((찾을값=창고검색),MATCH(ROW(창고검색),ROW(창고검색)),""),ROWS($A$1:B128)),COLUMNS($A$1:B128)),"")</x:f>
        <x:v/>
      </x:c>
      <x:c r="D129" s="8" t="str">
        <x:f t="array" ref="D129:D129">IFERROR(INDEX(창고검색범위,SMALL(IF((찾을값=창고검색),MATCH(ROW(창고검색),ROW(창고검색)),""),ROWS($A$1:C128)),COLUMNS($A$1:C128)),"")</x:f>
        <x:v/>
      </x:c>
      <x:c r="E129" s="8" t="str">
        <x:f t="array" ref="E129:E129">IFERROR(INDEX(창고검색범위,SMALL(IF((찾을값=창고검색),MATCH(ROW(창고검색),ROW(창고검색)),""),ROWS($A$1:D128)),COLUMNS($A$1:D128)),"")</x:f>
        <x:v/>
      </x:c>
      <x:c r="F129" s="8" t="str">
        <x:f t="array" ref="F129:F129">IFERROR(INDEX(창고검색범위,SMALL(IF((찾을값=창고검색),MATCH(ROW(창고검색),ROW(창고검색)),""),ROWS($A$1:E128)),COLUMNS($A$1:E128)),"")</x:f>
        <x:v/>
      </x:c>
      <x:c r="G129" s="8" t="str">
        <x:f t="array" ref="G129:G129">IFERROR(INDEX(창고검색범위,SMALL(IF((찾을값=창고검색),MATCH(ROW(창고검색),ROW(창고검색)),""),ROWS($A$1:F128)),COLUMNS($A$1:F128)),"")</x:f>
        <x:v/>
      </x:c>
      <x:c r="H129" s="8" t="str">
        <x:f t="array" ref="H129:H129">IFERROR(INDEX(창고검색범위,SMALL(IF((찾을값=창고검색),MATCH(ROW(창고검색),ROW(창고검색)),""),ROWS($A$1:G128)),COLUMNS($A$1:G128)),"")</x:f>
        <x:v/>
      </x:c>
      <x:c r="I129" s="117" t="str">
        <x:f t="array" ref="I129:I129">IFERROR(INDEX(창고검색범위,SMALL(IF((찾을값=창고검색),MATCH(ROW(창고검색),ROW(창고검색)),""),ROWS($A$1:H128)),COLUMNS($A$1:H128)),"")</x:f>
        <x:v/>
      </x:c>
      <x:c r="J129" s="118" t="str">
        <x:f t="array" ref="J129:J129">IFERROR(INDEX(창고검색범위,SMALL(IF((찾을값=창고검색),MATCH(ROW(창고검색),ROW(창고검색)),""),ROWS($A$1:I128)),COLUMNS($A$1:I128)),"")</x:f>
        <x:v/>
      </x:c>
    </x:row>
    <x:row r="130" spans="1:10">
      <x:c r="A130" s="172"/>
      <x:c r="B130" s="7" t="str">
        <x:f t="array" ref="B130:B130">IFERROR(INDEX(창고검색범위,SMALL(IF((찾을값=창고검색),MATCH(ROW(창고검색),ROW(창고검색)),""),ROWS($A$1:A129)),COLUMNS($A$1:A129)),"")</x:f>
        <x:v/>
      </x:c>
      <x:c r="C130" s="7" t="str">
        <x:f t="array" ref="C130:C130">IFERROR(INDEX(창고검색범위,SMALL(IF((찾을값=창고검색),MATCH(ROW(창고검색),ROW(창고검색)),""),ROWS($A$1:B129)),COLUMNS($A$1:B129)),"")</x:f>
        <x:v/>
      </x:c>
      <x:c r="D130" s="7" t="str">
        <x:f t="array" ref="D130:D130">IFERROR(INDEX(창고검색범위,SMALL(IF((찾을값=창고검색),MATCH(ROW(창고검색),ROW(창고검색)),""),ROWS($A$1:C129)),COLUMNS($A$1:C129)),"")</x:f>
        <x:v/>
      </x:c>
      <x:c r="E130" s="7" t="str">
        <x:f t="array" ref="E130:E130">IFERROR(INDEX(창고검색범위,SMALL(IF((찾을값=창고검색),MATCH(ROW(창고검색),ROW(창고검색)),""),ROWS($A$1:D129)),COLUMNS($A$1:D129)),"")</x:f>
        <x:v/>
      </x:c>
      <x:c r="F130" s="7" t="str">
        <x:f t="array" ref="F130:F130">IFERROR(INDEX(창고검색범위,SMALL(IF((찾을값=창고검색),MATCH(ROW(창고검색),ROW(창고검색)),""),ROWS($A$1:E129)),COLUMNS($A$1:E129)),"")</x:f>
        <x:v/>
      </x:c>
      <x:c r="G130" s="7" t="str">
        <x:f t="array" ref="G130:G130">IFERROR(INDEX(창고검색범위,SMALL(IF((찾을값=창고검색),MATCH(ROW(창고검색),ROW(창고검색)),""),ROWS($A$1:F129)),COLUMNS($A$1:F129)),"")</x:f>
        <x:v/>
      </x:c>
      <x:c r="H130" s="7" t="str">
        <x:f t="array" ref="H130:H130">IFERROR(INDEX(창고검색범위,SMALL(IF((찾을값=창고검색),MATCH(ROW(창고검색),ROW(창고검색)),""),ROWS($A$1:G129)),COLUMNS($A$1:G129)),"")</x:f>
        <x:v/>
      </x:c>
      <x:c r="I130" s="119" t="str">
        <x:f t="array" ref="I130:I130">IFERROR(INDEX(창고검색범위,SMALL(IF((찾을값=창고검색),MATCH(ROW(창고검색),ROW(창고검색)),""),ROWS($A$1:H129)),COLUMNS($A$1:H129)),"")</x:f>
        <x:v/>
      </x:c>
      <x:c r="J130" s="120" t="str">
        <x:f t="array" ref="J130:J130">IFERROR(INDEX(창고검색범위,SMALL(IF((찾을값=창고검색),MATCH(ROW(창고검색),ROW(창고검색)),""),ROWS($A$1:I129)),COLUMNS($A$1:I129)),"")</x:f>
        <x:v/>
      </x:c>
    </x:row>
    <x:row r="131" spans="1:10">
      <x:c r="A131" s="173"/>
      <x:c r="B131" s="8" t="str">
        <x:f t="array" ref="B131:B131">IFERROR(INDEX(창고검색범위,SMALL(IF((찾을값=창고검색),MATCH(ROW(창고검색),ROW(창고검색)),""),ROWS($A$1:A130)),COLUMNS($A$1:A130)),"")</x:f>
        <x:v/>
      </x:c>
      <x:c r="C131" s="8" t="str">
        <x:f t="array" ref="C131:C131">IFERROR(INDEX(창고검색범위,SMALL(IF((찾을값=창고검색),MATCH(ROW(창고검색),ROW(창고검색)),""),ROWS($A$1:B130)),COLUMNS($A$1:B130)),"")</x:f>
        <x:v/>
      </x:c>
      <x:c r="D131" s="8" t="str">
        <x:f t="array" ref="D131:D131">IFERROR(INDEX(창고검색범위,SMALL(IF((찾을값=창고검색),MATCH(ROW(창고검색),ROW(창고검색)),""),ROWS($A$1:C130)),COLUMNS($A$1:C130)),"")</x:f>
        <x:v/>
      </x:c>
      <x:c r="E131" s="8" t="str">
        <x:f t="array" ref="E131:E131">IFERROR(INDEX(창고검색범위,SMALL(IF((찾을값=창고검색),MATCH(ROW(창고검색),ROW(창고검색)),""),ROWS($A$1:D130)),COLUMNS($A$1:D130)),"")</x:f>
        <x:v/>
      </x:c>
      <x:c r="F131" s="8" t="str">
        <x:f t="array" ref="F131:F131">IFERROR(INDEX(창고검색범위,SMALL(IF((찾을값=창고검색),MATCH(ROW(창고검색),ROW(창고검색)),""),ROWS($A$1:E130)),COLUMNS($A$1:E130)),"")</x:f>
        <x:v/>
      </x:c>
      <x:c r="G131" s="8" t="str">
        <x:f t="array" ref="G131:G131">IFERROR(INDEX(창고검색범위,SMALL(IF((찾을값=창고검색),MATCH(ROW(창고검색),ROW(창고검색)),""),ROWS($A$1:F130)),COLUMNS($A$1:F130)),"")</x:f>
        <x:v/>
      </x:c>
      <x:c r="H131" s="8" t="str">
        <x:f t="array" ref="H131:H131">IFERROR(INDEX(창고검색범위,SMALL(IF((찾을값=창고검색),MATCH(ROW(창고검색),ROW(창고검색)),""),ROWS($A$1:G130)),COLUMNS($A$1:G130)),"")</x:f>
        <x:v/>
      </x:c>
      <x:c r="I131" s="117" t="str">
        <x:f t="array" ref="I131:I131">IFERROR(INDEX(창고검색범위,SMALL(IF((찾을값=창고검색),MATCH(ROW(창고검색),ROW(창고검색)),""),ROWS($A$1:H130)),COLUMNS($A$1:H130)),"")</x:f>
        <x:v/>
      </x:c>
      <x:c r="J131" s="118" t="str">
        <x:f t="array" ref="J131:J131">IFERROR(INDEX(창고검색범위,SMALL(IF((찾을값=창고검색),MATCH(ROW(창고검색),ROW(창고검색)),""),ROWS($A$1:I130)),COLUMNS($A$1:I130)),"")</x:f>
        <x:v/>
      </x:c>
    </x:row>
    <x:row r="132" spans="1:10">
      <x:c r="A132" s="172"/>
      <x:c r="B132" s="7" t="str">
        <x:f t="array" ref="B132:B132">IFERROR(INDEX(창고검색범위,SMALL(IF((찾을값=창고검색),MATCH(ROW(창고검색),ROW(창고검색)),""),ROWS($A$1:A131)),COLUMNS($A$1:A131)),"")</x:f>
        <x:v/>
      </x:c>
      <x:c r="C132" s="7" t="str">
        <x:f t="array" ref="C132:C132">IFERROR(INDEX(창고검색범위,SMALL(IF((찾을값=창고검색),MATCH(ROW(창고검색),ROW(창고검색)),""),ROWS($A$1:B131)),COLUMNS($A$1:B131)),"")</x:f>
        <x:v/>
      </x:c>
      <x:c r="D132" s="7" t="str">
        <x:f t="array" ref="D132:D132">IFERROR(INDEX(창고검색범위,SMALL(IF((찾을값=창고검색),MATCH(ROW(창고검색),ROW(창고검색)),""),ROWS($A$1:C131)),COLUMNS($A$1:C131)),"")</x:f>
        <x:v/>
      </x:c>
      <x:c r="E132" s="7" t="str">
        <x:f t="array" ref="E132:E132">IFERROR(INDEX(창고검색범위,SMALL(IF((찾을값=창고검색),MATCH(ROW(창고검색),ROW(창고검색)),""),ROWS($A$1:D131)),COLUMNS($A$1:D131)),"")</x:f>
        <x:v/>
      </x:c>
      <x:c r="F132" s="7" t="str">
        <x:f t="array" ref="F132:F132">IFERROR(INDEX(창고검색범위,SMALL(IF((찾을값=창고검색),MATCH(ROW(창고검색),ROW(창고검색)),""),ROWS($A$1:E131)),COLUMNS($A$1:E131)),"")</x:f>
        <x:v/>
      </x:c>
      <x:c r="G132" s="7" t="str">
        <x:f t="array" ref="G132:G132">IFERROR(INDEX(창고검색범위,SMALL(IF((찾을값=창고검색),MATCH(ROW(창고검색),ROW(창고검색)),""),ROWS($A$1:F131)),COLUMNS($A$1:F131)),"")</x:f>
        <x:v/>
      </x:c>
      <x:c r="H132" s="7" t="str">
        <x:f t="array" ref="H132:H132">IFERROR(INDEX(창고검색범위,SMALL(IF((찾을값=창고검색),MATCH(ROW(창고검색),ROW(창고검색)),""),ROWS($A$1:G131)),COLUMNS($A$1:G131)),"")</x:f>
        <x:v/>
      </x:c>
      <x:c r="I132" s="119" t="str">
        <x:f t="array" ref="I132:I132">IFERROR(INDEX(창고검색범위,SMALL(IF((찾을값=창고검색),MATCH(ROW(창고검색),ROW(창고검색)),""),ROWS($A$1:H131)),COLUMNS($A$1:H131)),"")</x:f>
        <x:v/>
      </x:c>
      <x:c r="J132" s="120" t="str">
        <x:f t="array" ref="J132:J132">IFERROR(INDEX(창고검색범위,SMALL(IF((찾을값=창고검색),MATCH(ROW(창고검색),ROW(창고검색)),""),ROWS($A$1:I131)),COLUMNS($A$1:I131)),"")</x:f>
        <x:v/>
      </x:c>
    </x:row>
    <x:row r="133" spans="1:10">
      <x:c r="A133" s="173"/>
      <x:c r="B133" s="8" t="str">
        <x:f t="array" ref="B133:B133">IFERROR(INDEX(창고검색범위,SMALL(IF((찾을값=창고검색),MATCH(ROW(창고검색),ROW(창고검색)),""),ROWS($A$1:A132)),COLUMNS($A$1:A132)),"")</x:f>
        <x:v/>
      </x:c>
      <x:c r="C133" s="8" t="str">
        <x:f t="array" ref="C133:C133">IFERROR(INDEX(창고검색범위,SMALL(IF((찾을값=창고검색),MATCH(ROW(창고검색),ROW(창고검색)),""),ROWS($A$1:B132)),COLUMNS($A$1:B132)),"")</x:f>
        <x:v/>
      </x:c>
      <x:c r="D133" s="8" t="str">
        <x:f t="array" ref="D133:D133">IFERROR(INDEX(창고검색범위,SMALL(IF((찾을값=창고검색),MATCH(ROW(창고검색),ROW(창고검색)),""),ROWS($A$1:C132)),COLUMNS($A$1:C132)),"")</x:f>
        <x:v/>
      </x:c>
      <x:c r="E133" s="8" t="str">
        <x:f t="array" ref="E133:E133">IFERROR(INDEX(창고검색범위,SMALL(IF((찾을값=창고검색),MATCH(ROW(창고검색),ROW(창고검색)),""),ROWS($A$1:D132)),COLUMNS($A$1:D132)),"")</x:f>
        <x:v/>
      </x:c>
      <x:c r="F133" s="8" t="str">
        <x:f t="array" ref="F133:F133">IFERROR(INDEX(창고검색범위,SMALL(IF((찾을값=창고검색),MATCH(ROW(창고검색),ROW(창고검색)),""),ROWS($A$1:E132)),COLUMNS($A$1:E132)),"")</x:f>
        <x:v/>
      </x:c>
      <x:c r="G133" s="8" t="str">
        <x:f t="array" ref="G133:G133">IFERROR(INDEX(창고검색범위,SMALL(IF((찾을값=창고검색),MATCH(ROW(창고검색),ROW(창고검색)),""),ROWS($A$1:F132)),COLUMNS($A$1:F132)),"")</x:f>
        <x:v/>
      </x:c>
      <x:c r="H133" s="8" t="str">
        <x:f t="array" ref="H133:H133">IFERROR(INDEX(창고검색범위,SMALL(IF((찾을값=창고검색),MATCH(ROW(창고검색),ROW(창고검색)),""),ROWS($A$1:G132)),COLUMNS($A$1:G132)),"")</x:f>
        <x:v/>
      </x:c>
      <x:c r="I133" s="117" t="str">
        <x:f t="array" ref="I133:I133">IFERROR(INDEX(창고검색범위,SMALL(IF((찾을값=창고검색),MATCH(ROW(창고검색),ROW(창고검색)),""),ROWS($A$1:H132)),COLUMNS($A$1:H132)),"")</x:f>
        <x:v/>
      </x:c>
      <x:c r="J133" s="118" t="str">
        <x:f t="array" ref="J133:J133">IFERROR(INDEX(창고검색범위,SMALL(IF((찾을값=창고검색),MATCH(ROW(창고검색),ROW(창고검색)),""),ROWS($A$1:I132)),COLUMNS($A$1:I132)),"")</x:f>
        <x:v/>
      </x:c>
    </x:row>
    <x:row r="134" spans="1:10">
      <x:c r="A134" s="172"/>
      <x:c r="B134" s="7" t="str">
        <x:f t="array" ref="B134:B134">IFERROR(INDEX(창고검색범위,SMALL(IF((찾을값=창고검색),MATCH(ROW(창고검색),ROW(창고검색)),""),ROWS($A$1:A133)),COLUMNS($A$1:A133)),"")</x:f>
        <x:v/>
      </x:c>
      <x:c r="C134" s="7" t="str">
        <x:f t="array" ref="C134:C134">IFERROR(INDEX(창고검색범위,SMALL(IF((찾을값=창고검색),MATCH(ROW(창고검색),ROW(창고검색)),""),ROWS($A$1:B133)),COLUMNS($A$1:B133)),"")</x:f>
        <x:v/>
      </x:c>
      <x:c r="D134" s="7" t="str">
        <x:f t="array" ref="D134:D134">IFERROR(INDEX(창고검색범위,SMALL(IF((찾을값=창고검색),MATCH(ROW(창고검색),ROW(창고검색)),""),ROWS($A$1:C133)),COLUMNS($A$1:C133)),"")</x:f>
        <x:v/>
      </x:c>
      <x:c r="E134" s="7" t="str">
        <x:f t="array" ref="E134:E134">IFERROR(INDEX(창고검색범위,SMALL(IF((찾을값=창고검색),MATCH(ROW(창고검색),ROW(창고검색)),""),ROWS($A$1:D133)),COLUMNS($A$1:D133)),"")</x:f>
        <x:v/>
      </x:c>
      <x:c r="F134" s="7" t="str">
        <x:f t="array" ref="F134:F134">IFERROR(INDEX(창고검색범위,SMALL(IF((찾을값=창고검색),MATCH(ROW(창고검색),ROW(창고검색)),""),ROWS($A$1:E133)),COLUMNS($A$1:E133)),"")</x:f>
        <x:v/>
      </x:c>
      <x:c r="G134" s="7" t="str">
        <x:f t="array" ref="G134:G134">IFERROR(INDEX(창고검색범위,SMALL(IF((찾을값=창고검색),MATCH(ROW(창고검색),ROW(창고검색)),""),ROWS($A$1:F133)),COLUMNS($A$1:F133)),"")</x:f>
        <x:v/>
      </x:c>
      <x:c r="H134" s="7" t="str">
        <x:f t="array" ref="H134:H134">IFERROR(INDEX(창고검색범위,SMALL(IF((찾을값=창고검색),MATCH(ROW(창고검색),ROW(창고검색)),""),ROWS($A$1:G133)),COLUMNS($A$1:G133)),"")</x:f>
        <x:v/>
      </x:c>
      <x:c r="I134" s="119" t="str">
        <x:f t="array" ref="I134:I134">IFERROR(INDEX(창고검색범위,SMALL(IF((찾을값=창고검색),MATCH(ROW(창고검색),ROW(창고검색)),""),ROWS($A$1:H133)),COLUMNS($A$1:H133)),"")</x:f>
        <x:v/>
      </x:c>
      <x:c r="J134" s="120" t="str">
        <x:f t="array" ref="J134:J134">IFERROR(INDEX(창고검색범위,SMALL(IF((찾을값=창고검색),MATCH(ROW(창고검색),ROW(창고검색)),""),ROWS($A$1:I133)),COLUMNS($A$1:I133)),"")</x:f>
        <x:v/>
      </x:c>
    </x:row>
    <x:row r="135" spans="1:10">
      <x:c r="A135" s="173"/>
      <x:c r="B135" s="8" t="str">
        <x:f t="array" ref="B135:B135">IFERROR(INDEX(창고검색범위,SMALL(IF((찾을값=창고검색),MATCH(ROW(창고검색),ROW(창고검색)),""),ROWS($A$1:A134)),COLUMNS($A$1:A134)),"")</x:f>
        <x:v/>
      </x:c>
      <x:c r="C135" s="8" t="str">
        <x:f t="array" ref="C135:C135">IFERROR(INDEX(창고검색범위,SMALL(IF((찾을값=창고검색),MATCH(ROW(창고검색),ROW(창고검색)),""),ROWS($A$1:B134)),COLUMNS($A$1:B134)),"")</x:f>
        <x:v/>
      </x:c>
      <x:c r="D135" s="8" t="str">
        <x:f t="array" ref="D135:D135">IFERROR(INDEX(창고검색범위,SMALL(IF((찾을값=창고검색),MATCH(ROW(창고검색),ROW(창고검색)),""),ROWS($A$1:C134)),COLUMNS($A$1:C134)),"")</x:f>
        <x:v/>
      </x:c>
      <x:c r="E135" s="8" t="str">
        <x:f t="array" ref="E135:E135">IFERROR(INDEX(창고검색범위,SMALL(IF((찾을값=창고검색),MATCH(ROW(창고검색),ROW(창고검색)),""),ROWS($A$1:D134)),COLUMNS($A$1:D134)),"")</x:f>
        <x:v/>
      </x:c>
      <x:c r="F135" s="8" t="str">
        <x:f t="array" ref="F135:F135">IFERROR(INDEX(창고검색범위,SMALL(IF((찾을값=창고검색),MATCH(ROW(창고검색),ROW(창고검색)),""),ROWS($A$1:E134)),COLUMNS($A$1:E134)),"")</x:f>
        <x:v/>
      </x:c>
      <x:c r="G135" s="8" t="str">
        <x:f t="array" ref="G135:G135">IFERROR(INDEX(창고검색범위,SMALL(IF((찾을값=창고검색),MATCH(ROW(창고검색),ROW(창고검색)),""),ROWS($A$1:F134)),COLUMNS($A$1:F134)),"")</x:f>
        <x:v/>
      </x:c>
      <x:c r="H135" s="8" t="str">
        <x:f t="array" ref="H135:H135">IFERROR(INDEX(창고검색범위,SMALL(IF((찾을값=창고검색),MATCH(ROW(창고검색),ROW(창고검색)),""),ROWS($A$1:G134)),COLUMNS($A$1:G134)),"")</x:f>
        <x:v/>
      </x:c>
      <x:c r="I135" s="117" t="str">
        <x:f t="array" ref="I135:I135">IFERROR(INDEX(창고검색범위,SMALL(IF((찾을값=창고검색),MATCH(ROW(창고검색),ROW(창고검색)),""),ROWS($A$1:H134)),COLUMNS($A$1:H134)),"")</x:f>
        <x:v/>
      </x:c>
      <x:c r="J135" s="118" t="str">
        <x:f t="array" ref="J135:J135">IFERROR(INDEX(창고검색범위,SMALL(IF((찾을값=창고검색),MATCH(ROW(창고검색),ROW(창고검색)),""),ROWS($A$1:I134)),COLUMNS($A$1:I134)),"")</x:f>
        <x:v/>
      </x:c>
    </x:row>
    <x:row r="136" spans="1:10">
      <x:c r="A136" s="172"/>
      <x:c r="B136" s="7" t="str">
        <x:f t="array" ref="B136:B136">IFERROR(INDEX(창고검색범위,SMALL(IF((찾을값=창고검색),MATCH(ROW(창고검색),ROW(창고검색)),""),ROWS($A$1:A135)),COLUMNS($A$1:A135)),"")</x:f>
        <x:v/>
      </x:c>
      <x:c r="C136" s="7" t="str">
        <x:f t="array" ref="C136:C136">IFERROR(INDEX(창고검색범위,SMALL(IF((찾을값=창고검색),MATCH(ROW(창고검색),ROW(창고검색)),""),ROWS($A$1:B135)),COLUMNS($A$1:B135)),"")</x:f>
        <x:v/>
      </x:c>
      <x:c r="D136" s="7" t="str">
        <x:f t="array" ref="D136:D136">IFERROR(INDEX(창고검색범위,SMALL(IF((찾을값=창고검색),MATCH(ROW(창고검색),ROW(창고검색)),""),ROWS($A$1:C135)),COLUMNS($A$1:C135)),"")</x:f>
        <x:v/>
      </x:c>
      <x:c r="E136" s="7" t="str">
        <x:f t="array" ref="E136:E136">IFERROR(INDEX(창고검색범위,SMALL(IF((찾을값=창고검색),MATCH(ROW(창고검색),ROW(창고검색)),""),ROWS($A$1:D135)),COLUMNS($A$1:D135)),"")</x:f>
        <x:v/>
      </x:c>
      <x:c r="F136" s="7" t="str">
        <x:f t="array" ref="F136:F136">IFERROR(INDEX(창고검색범위,SMALL(IF((찾을값=창고검색),MATCH(ROW(창고검색),ROW(창고검색)),""),ROWS($A$1:E135)),COLUMNS($A$1:E135)),"")</x:f>
        <x:v/>
      </x:c>
      <x:c r="G136" s="7" t="str">
        <x:f t="array" ref="G136:G136">IFERROR(INDEX(창고검색범위,SMALL(IF((찾을값=창고검색),MATCH(ROW(창고검색),ROW(창고검색)),""),ROWS($A$1:F135)),COLUMNS($A$1:F135)),"")</x:f>
        <x:v/>
      </x:c>
      <x:c r="H136" s="7" t="str">
        <x:f t="array" ref="H136:H136">IFERROR(INDEX(창고검색범위,SMALL(IF((찾을값=창고검색),MATCH(ROW(창고검색),ROW(창고검색)),""),ROWS($A$1:G135)),COLUMNS($A$1:G135)),"")</x:f>
        <x:v/>
      </x:c>
      <x:c r="I136" s="119" t="str">
        <x:f t="array" ref="I136:I136">IFERROR(INDEX(창고검색범위,SMALL(IF((찾을값=창고검색),MATCH(ROW(창고검색),ROW(창고검색)),""),ROWS($A$1:H135)),COLUMNS($A$1:H135)),"")</x:f>
        <x:v/>
      </x:c>
      <x:c r="J136" s="120" t="str">
        <x:f t="array" ref="J136:J136">IFERROR(INDEX(창고검색범위,SMALL(IF((찾을값=창고검색),MATCH(ROW(창고검색),ROW(창고검색)),""),ROWS($A$1:I135)),COLUMNS($A$1:I135)),"")</x:f>
        <x:v/>
      </x:c>
    </x:row>
    <x:row r="137" spans="1:10">
      <x:c r="A137" s="173"/>
      <x:c r="B137" s="8" t="str">
        <x:f t="array" ref="B137:B137">IFERROR(INDEX(창고검색범위,SMALL(IF((찾을값=창고검색),MATCH(ROW(창고검색),ROW(창고검색)),""),ROWS($A$1:A136)),COLUMNS($A$1:A136)),"")</x:f>
        <x:v/>
      </x:c>
      <x:c r="C137" s="8" t="str">
        <x:f t="array" ref="C137:C137">IFERROR(INDEX(창고검색범위,SMALL(IF((찾을값=창고검색),MATCH(ROW(창고검색),ROW(창고검색)),""),ROWS($A$1:B136)),COLUMNS($A$1:B136)),"")</x:f>
        <x:v/>
      </x:c>
      <x:c r="D137" s="8" t="str">
        <x:f t="array" ref="D137:D137">IFERROR(INDEX(창고검색범위,SMALL(IF((찾을값=창고검색),MATCH(ROW(창고검색),ROW(창고검색)),""),ROWS($A$1:C136)),COLUMNS($A$1:C136)),"")</x:f>
        <x:v/>
      </x:c>
      <x:c r="E137" s="8" t="str">
        <x:f t="array" ref="E137:E137">IFERROR(INDEX(창고검색범위,SMALL(IF((찾을값=창고검색),MATCH(ROW(창고검색),ROW(창고검색)),""),ROWS($A$1:D136)),COLUMNS($A$1:D136)),"")</x:f>
        <x:v/>
      </x:c>
      <x:c r="F137" s="8" t="str">
        <x:f t="array" ref="F137:F137">IFERROR(INDEX(창고검색범위,SMALL(IF((찾을값=창고검색),MATCH(ROW(창고검색),ROW(창고검색)),""),ROWS($A$1:E136)),COLUMNS($A$1:E136)),"")</x:f>
        <x:v/>
      </x:c>
      <x:c r="G137" s="8" t="str">
        <x:f t="array" ref="G137:G137">IFERROR(INDEX(창고검색범위,SMALL(IF((찾을값=창고검색),MATCH(ROW(창고검색),ROW(창고검색)),""),ROWS($A$1:F136)),COLUMNS($A$1:F136)),"")</x:f>
        <x:v/>
      </x:c>
      <x:c r="H137" s="8" t="str">
        <x:f t="array" ref="H137:H137">IFERROR(INDEX(창고검색범위,SMALL(IF((찾을값=창고검색),MATCH(ROW(창고검색),ROW(창고검색)),""),ROWS($A$1:G136)),COLUMNS($A$1:G136)),"")</x:f>
        <x:v/>
      </x:c>
      <x:c r="I137" s="117" t="str">
        <x:f t="array" ref="I137:I137">IFERROR(INDEX(창고검색범위,SMALL(IF((찾을값=창고검색),MATCH(ROW(창고검색),ROW(창고검색)),""),ROWS($A$1:H136)),COLUMNS($A$1:H136)),"")</x:f>
        <x:v/>
      </x:c>
      <x:c r="J137" s="118" t="str">
        <x:f t="array" ref="J137:J137">IFERROR(INDEX(창고검색범위,SMALL(IF((찾을값=창고검색),MATCH(ROW(창고검색),ROW(창고검색)),""),ROWS($A$1:I136)),COLUMNS($A$1:I136)),"")</x:f>
        <x:v/>
      </x:c>
    </x:row>
    <x:row r="138" spans="1:10">
      <x:c r="A138" s="172"/>
      <x:c r="B138" s="7" t="str">
        <x:f t="array" ref="B138:B138">IFERROR(INDEX(창고검색범위,SMALL(IF((찾을값=창고검색),MATCH(ROW(창고검색),ROW(창고검색)),""),ROWS($A$1:A137)),COLUMNS($A$1:A137)),"")</x:f>
        <x:v/>
      </x:c>
      <x:c r="C138" s="7" t="str">
        <x:f t="array" ref="C138:C138">IFERROR(INDEX(창고검색범위,SMALL(IF((찾을값=창고검색),MATCH(ROW(창고검색),ROW(창고검색)),""),ROWS($A$1:B137)),COLUMNS($A$1:B137)),"")</x:f>
        <x:v/>
      </x:c>
      <x:c r="D138" s="7" t="str">
        <x:f t="array" ref="D138:D138">IFERROR(INDEX(창고검색범위,SMALL(IF((찾을값=창고검색),MATCH(ROW(창고검색),ROW(창고검색)),""),ROWS($A$1:C137)),COLUMNS($A$1:C137)),"")</x:f>
        <x:v/>
      </x:c>
      <x:c r="E138" s="7" t="str">
        <x:f t="array" ref="E138:E138">IFERROR(INDEX(창고검색범위,SMALL(IF((찾을값=창고검색),MATCH(ROW(창고검색),ROW(창고검색)),""),ROWS($A$1:D137)),COLUMNS($A$1:D137)),"")</x:f>
        <x:v/>
      </x:c>
      <x:c r="F138" s="7" t="str">
        <x:f t="array" ref="F138:F138">IFERROR(INDEX(창고검색범위,SMALL(IF((찾을값=창고검색),MATCH(ROW(창고검색),ROW(창고검색)),""),ROWS($A$1:E137)),COLUMNS($A$1:E137)),"")</x:f>
        <x:v/>
      </x:c>
      <x:c r="G138" s="7" t="str">
        <x:f t="array" ref="G138:G138">IFERROR(INDEX(창고검색범위,SMALL(IF((찾을값=창고검색),MATCH(ROW(창고검색),ROW(창고검색)),""),ROWS($A$1:F137)),COLUMNS($A$1:F137)),"")</x:f>
        <x:v/>
      </x:c>
      <x:c r="H138" s="7" t="str">
        <x:f t="array" ref="H138:H138">IFERROR(INDEX(창고검색범위,SMALL(IF((찾을값=창고검색),MATCH(ROW(창고검색),ROW(창고검색)),""),ROWS($A$1:G137)),COLUMNS($A$1:G137)),"")</x:f>
        <x:v/>
      </x:c>
      <x:c r="I138" s="119" t="str">
        <x:f t="array" ref="I138:I138">IFERROR(INDEX(창고검색범위,SMALL(IF((찾을값=창고검색),MATCH(ROW(창고검색),ROW(창고검색)),""),ROWS($A$1:H137)),COLUMNS($A$1:H137)),"")</x:f>
        <x:v/>
      </x:c>
      <x:c r="J138" s="120" t="str">
        <x:f t="array" ref="J138:J138">IFERROR(INDEX(창고검색범위,SMALL(IF((찾을값=창고검색),MATCH(ROW(창고검색),ROW(창고검색)),""),ROWS($A$1:I137)),COLUMNS($A$1:I137)),"")</x:f>
        <x:v/>
      </x:c>
    </x:row>
    <x:row r="139" spans="1:10">
      <x:c r="A139" s="173"/>
      <x:c r="B139" s="8" t="str">
        <x:f t="array" ref="B139:B139">IFERROR(INDEX(창고검색범위,SMALL(IF((찾을값=창고검색),MATCH(ROW(창고검색),ROW(창고검색)),""),ROWS($A$1:A138)),COLUMNS($A$1:A138)),"")</x:f>
        <x:v/>
      </x:c>
      <x:c r="C139" s="8" t="str">
        <x:f t="array" ref="C139:C139">IFERROR(INDEX(창고검색범위,SMALL(IF((찾을값=창고검색),MATCH(ROW(창고검색),ROW(창고검색)),""),ROWS($A$1:B138)),COLUMNS($A$1:B138)),"")</x:f>
        <x:v/>
      </x:c>
      <x:c r="D139" s="8" t="str">
        <x:f t="array" ref="D139:D139">IFERROR(INDEX(창고검색범위,SMALL(IF((찾을값=창고검색),MATCH(ROW(창고검색),ROW(창고검색)),""),ROWS($A$1:C138)),COLUMNS($A$1:C138)),"")</x:f>
        <x:v/>
      </x:c>
      <x:c r="E139" s="8" t="str">
        <x:f t="array" ref="E139:E139">IFERROR(INDEX(창고검색범위,SMALL(IF((찾을값=창고검색),MATCH(ROW(창고검색),ROW(창고검색)),""),ROWS($A$1:D138)),COLUMNS($A$1:D138)),"")</x:f>
        <x:v/>
      </x:c>
      <x:c r="F139" s="8" t="str">
        <x:f t="array" ref="F139:F139">IFERROR(INDEX(창고검색범위,SMALL(IF((찾을값=창고검색),MATCH(ROW(창고검색),ROW(창고검색)),""),ROWS($A$1:E138)),COLUMNS($A$1:E138)),"")</x:f>
        <x:v/>
      </x:c>
      <x:c r="G139" s="8" t="str">
        <x:f t="array" ref="G139:G139">IFERROR(INDEX(창고검색범위,SMALL(IF((찾을값=창고검색),MATCH(ROW(창고검색),ROW(창고검색)),""),ROWS($A$1:F138)),COLUMNS($A$1:F138)),"")</x:f>
        <x:v/>
      </x:c>
      <x:c r="H139" s="8" t="str">
        <x:f t="array" ref="H139:H139">IFERROR(INDEX(창고검색범위,SMALL(IF((찾을값=창고검색),MATCH(ROW(창고검색),ROW(창고검색)),""),ROWS($A$1:G138)),COLUMNS($A$1:G138)),"")</x:f>
        <x:v/>
      </x:c>
      <x:c r="I139" s="117" t="str">
        <x:f t="array" ref="I139:I139">IFERROR(INDEX(창고검색범위,SMALL(IF((찾을값=창고검색),MATCH(ROW(창고검색),ROW(창고검색)),""),ROWS($A$1:H138)),COLUMNS($A$1:H138)),"")</x:f>
        <x:v/>
      </x:c>
      <x:c r="J139" s="118" t="str">
        <x:f t="array" ref="J139:J139">IFERROR(INDEX(창고검색범위,SMALL(IF((찾을값=창고검색),MATCH(ROW(창고검색),ROW(창고검색)),""),ROWS($A$1:I138)),COLUMNS($A$1:I138)),"")</x:f>
        <x:v/>
      </x:c>
    </x:row>
    <x:row r="140" spans="1:10">
      <x:c r="A140" s="172"/>
      <x:c r="B140" s="7" t="str">
        <x:f t="array" ref="B140:B140">IFERROR(INDEX(창고검색범위,SMALL(IF((찾을값=창고검색),MATCH(ROW(창고검색),ROW(창고검색)),""),ROWS($A$1:A139)),COLUMNS($A$1:A139)),"")</x:f>
        <x:v/>
      </x:c>
      <x:c r="C140" s="7" t="str">
        <x:f t="array" ref="C140:C140">IFERROR(INDEX(창고검색범위,SMALL(IF((찾을값=창고검색),MATCH(ROW(창고검색),ROW(창고검색)),""),ROWS($A$1:B139)),COLUMNS($A$1:B139)),"")</x:f>
        <x:v/>
      </x:c>
      <x:c r="D140" s="7" t="str">
        <x:f t="array" ref="D140:D140">IFERROR(INDEX(창고검색범위,SMALL(IF((찾을값=창고검색),MATCH(ROW(창고검색),ROW(창고검색)),""),ROWS($A$1:C139)),COLUMNS($A$1:C139)),"")</x:f>
        <x:v/>
      </x:c>
      <x:c r="E140" s="7" t="str">
        <x:f t="array" ref="E140:E140">IFERROR(INDEX(창고검색범위,SMALL(IF((찾을값=창고검색),MATCH(ROW(창고검색),ROW(창고검색)),""),ROWS($A$1:D139)),COLUMNS($A$1:D139)),"")</x:f>
        <x:v/>
      </x:c>
      <x:c r="F140" s="7" t="str">
        <x:f t="array" ref="F140:F140">IFERROR(INDEX(창고검색범위,SMALL(IF((찾을값=창고검색),MATCH(ROW(창고검색),ROW(창고검색)),""),ROWS($A$1:E139)),COLUMNS($A$1:E139)),"")</x:f>
        <x:v/>
      </x:c>
      <x:c r="G140" s="7" t="str">
        <x:f t="array" ref="G140:G140">IFERROR(INDEX(창고검색범위,SMALL(IF((찾을값=창고검색),MATCH(ROW(창고검색),ROW(창고검색)),""),ROWS($A$1:F139)),COLUMNS($A$1:F139)),"")</x:f>
        <x:v/>
      </x:c>
      <x:c r="H140" s="7" t="str">
        <x:f t="array" ref="H140:H140">IFERROR(INDEX(창고검색범위,SMALL(IF((찾을값=창고검색),MATCH(ROW(창고검색),ROW(창고검색)),""),ROWS($A$1:G139)),COLUMNS($A$1:G139)),"")</x:f>
        <x:v/>
      </x:c>
      <x:c r="I140" s="119" t="str">
        <x:f t="array" ref="I140:I140">IFERROR(INDEX(창고검색범위,SMALL(IF((찾을값=창고검색),MATCH(ROW(창고검색),ROW(창고검색)),""),ROWS($A$1:H139)),COLUMNS($A$1:H139)),"")</x:f>
        <x:v/>
      </x:c>
      <x:c r="J140" s="120" t="str">
        <x:f t="array" ref="J140:J140">IFERROR(INDEX(창고검색범위,SMALL(IF((찾을값=창고검색),MATCH(ROW(창고검색),ROW(창고검색)),""),ROWS($A$1:I139)),COLUMNS($A$1:I139)),"")</x:f>
        <x:v/>
      </x:c>
    </x:row>
    <x:row r="141" spans="1:10">
      <x:c r="A141" s="173"/>
      <x:c r="B141" s="8" t="str">
        <x:f t="array" ref="B141:B141">IFERROR(INDEX(창고검색범위,SMALL(IF((찾을값=창고검색),MATCH(ROW(창고검색),ROW(창고검색)),""),ROWS($A$1:A140)),COLUMNS($A$1:A140)),"")</x:f>
        <x:v/>
      </x:c>
      <x:c r="C141" s="8" t="str">
        <x:f t="array" ref="C141:C141">IFERROR(INDEX(창고검색범위,SMALL(IF((찾을값=창고검색),MATCH(ROW(창고검색),ROW(창고검색)),""),ROWS($A$1:B140)),COLUMNS($A$1:B140)),"")</x:f>
        <x:v/>
      </x:c>
      <x:c r="D141" s="8" t="str">
        <x:f t="array" ref="D141:D141">IFERROR(INDEX(창고검색범위,SMALL(IF((찾을값=창고검색),MATCH(ROW(창고검색),ROW(창고검색)),""),ROWS($A$1:C140)),COLUMNS($A$1:C140)),"")</x:f>
        <x:v/>
      </x:c>
      <x:c r="E141" s="8" t="str">
        <x:f t="array" ref="E141:E141">IFERROR(INDEX(창고검색범위,SMALL(IF((찾을값=창고검색),MATCH(ROW(창고검색),ROW(창고검색)),""),ROWS($A$1:D140)),COLUMNS($A$1:D140)),"")</x:f>
        <x:v/>
      </x:c>
      <x:c r="F141" s="8" t="str">
        <x:f t="array" ref="F141:F141">IFERROR(INDEX(창고검색범위,SMALL(IF((찾을값=창고검색),MATCH(ROW(창고검색),ROW(창고검색)),""),ROWS($A$1:E140)),COLUMNS($A$1:E140)),"")</x:f>
        <x:v/>
      </x:c>
      <x:c r="G141" s="8" t="str">
        <x:f t="array" ref="G141:G141">IFERROR(INDEX(창고검색범위,SMALL(IF((찾을값=창고검색),MATCH(ROW(창고검색),ROW(창고검색)),""),ROWS($A$1:F140)),COLUMNS($A$1:F140)),"")</x:f>
        <x:v/>
      </x:c>
      <x:c r="H141" s="8" t="str">
        <x:f t="array" ref="H141:H141">IFERROR(INDEX(창고검색범위,SMALL(IF((찾을값=창고검색),MATCH(ROW(창고검색),ROW(창고검색)),""),ROWS($A$1:G140)),COLUMNS($A$1:G140)),"")</x:f>
        <x:v/>
      </x:c>
      <x:c r="I141" s="117" t="str">
        <x:f t="array" ref="I141:I141">IFERROR(INDEX(창고검색범위,SMALL(IF((찾을값=창고검색),MATCH(ROW(창고검색),ROW(창고검색)),""),ROWS($A$1:H140)),COLUMNS($A$1:H140)),"")</x:f>
        <x:v/>
      </x:c>
      <x:c r="J141" s="118" t="str">
        <x:f t="array" ref="J141:J141">IFERROR(INDEX(창고검색범위,SMALL(IF((찾을값=창고검색),MATCH(ROW(창고검색),ROW(창고검색)),""),ROWS($A$1:I140)),COLUMNS($A$1:I140)),"")</x:f>
        <x:v/>
      </x:c>
    </x:row>
    <x:row r="142" spans="1:10">
      <x:c r="A142" s="172"/>
      <x:c r="B142" s="7" t="str">
        <x:f t="array" ref="B142:B142">IFERROR(INDEX(창고검색범위,SMALL(IF((찾을값=창고검색),MATCH(ROW(창고검색),ROW(창고검색)),""),ROWS($A$1:A141)),COLUMNS($A$1:A141)),"")</x:f>
        <x:v/>
      </x:c>
      <x:c r="C142" s="7" t="str">
        <x:f t="array" ref="C142:C142">IFERROR(INDEX(창고검색범위,SMALL(IF((찾을값=창고검색),MATCH(ROW(창고검색),ROW(창고검색)),""),ROWS($A$1:B141)),COLUMNS($A$1:B141)),"")</x:f>
        <x:v/>
      </x:c>
      <x:c r="D142" s="7" t="str">
        <x:f t="array" ref="D142:D142">IFERROR(INDEX(창고검색범위,SMALL(IF((찾을값=창고검색),MATCH(ROW(창고검색),ROW(창고검색)),""),ROWS($A$1:C141)),COLUMNS($A$1:C141)),"")</x:f>
        <x:v/>
      </x:c>
      <x:c r="E142" s="7" t="str">
        <x:f t="array" ref="E142:E142">IFERROR(INDEX(창고검색범위,SMALL(IF((찾을값=창고검색),MATCH(ROW(창고검색),ROW(창고검색)),""),ROWS($A$1:D141)),COLUMNS($A$1:D141)),"")</x:f>
        <x:v/>
      </x:c>
      <x:c r="F142" s="7" t="str">
        <x:f t="array" ref="F142:F142">IFERROR(INDEX(창고검색범위,SMALL(IF((찾을값=창고검색),MATCH(ROW(창고검색),ROW(창고검색)),""),ROWS($A$1:E141)),COLUMNS($A$1:E141)),"")</x:f>
        <x:v/>
      </x:c>
      <x:c r="G142" s="7" t="str">
        <x:f t="array" ref="G142:G142">IFERROR(INDEX(창고검색범위,SMALL(IF((찾을값=창고검색),MATCH(ROW(창고검색),ROW(창고검색)),""),ROWS($A$1:F141)),COLUMNS($A$1:F141)),"")</x:f>
        <x:v/>
      </x:c>
      <x:c r="H142" s="7" t="str">
        <x:f t="array" ref="H142:H142">IFERROR(INDEX(창고검색범위,SMALL(IF((찾을값=창고검색),MATCH(ROW(창고검색),ROW(창고검색)),""),ROWS($A$1:G141)),COLUMNS($A$1:G141)),"")</x:f>
        <x:v/>
      </x:c>
      <x:c r="I142" s="119" t="str">
        <x:f t="array" ref="I142:I142">IFERROR(INDEX(창고검색범위,SMALL(IF((찾을값=창고검색),MATCH(ROW(창고검색),ROW(창고검색)),""),ROWS($A$1:H141)),COLUMNS($A$1:H141)),"")</x:f>
        <x:v/>
      </x:c>
      <x:c r="J142" s="120" t="str">
        <x:f t="array" ref="J142:J142">IFERROR(INDEX(창고검색범위,SMALL(IF((찾을값=창고검색),MATCH(ROW(창고검색),ROW(창고검색)),""),ROWS($A$1:I141)),COLUMNS($A$1:I141)),"")</x:f>
        <x:v/>
      </x:c>
    </x:row>
    <x:row r="143" spans="1:10">
      <x:c r="A143" s="173"/>
      <x:c r="B143" s="8" t="str">
        <x:f t="array" ref="B143:B143">IFERROR(INDEX(창고검색범위,SMALL(IF((찾을값=창고검색),MATCH(ROW(창고검색),ROW(창고검색)),""),ROWS($A$1:A142)),COLUMNS($A$1:A142)),"")</x:f>
        <x:v/>
      </x:c>
      <x:c r="C143" s="8" t="str">
        <x:f t="array" ref="C143:C143">IFERROR(INDEX(창고검색범위,SMALL(IF((찾을값=창고검색),MATCH(ROW(창고검색),ROW(창고검색)),""),ROWS($A$1:B142)),COLUMNS($A$1:B142)),"")</x:f>
        <x:v/>
      </x:c>
      <x:c r="D143" s="8" t="str">
        <x:f t="array" ref="D143:D143">IFERROR(INDEX(창고검색범위,SMALL(IF((찾을값=창고검색),MATCH(ROW(창고검색),ROW(창고검색)),""),ROWS($A$1:C142)),COLUMNS($A$1:C142)),"")</x:f>
        <x:v/>
      </x:c>
      <x:c r="E143" s="8" t="str">
        <x:f t="array" ref="E143:E143">IFERROR(INDEX(창고검색범위,SMALL(IF((찾을값=창고검색),MATCH(ROW(창고검색),ROW(창고검색)),""),ROWS($A$1:D142)),COLUMNS($A$1:D142)),"")</x:f>
        <x:v/>
      </x:c>
      <x:c r="F143" s="8" t="str">
        <x:f t="array" ref="F143:F143">IFERROR(INDEX(창고검색범위,SMALL(IF((찾을값=창고검색),MATCH(ROW(창고검색),ROW(창고검색)),""),ROWS($A$1:E142)),COLUMNS($A$1:E142)),"")</x:f>
        <x:v/>
      </x:c>
      <x:c r="G143" s="8" t="str">
        <x:f t="array" ref="G143:G143">IFERROR(INDEX(창고검색범위,SMALL(IF((찾을값=창고검색),MATCH(ROW(창고검색),ROW(창고검색)),""),ROWS($A$1:F142)),COLUMNS($A$1:F142)),"")</x:f>
        <x:v/>
      </x:c>
      <x:c r="H143" s="8" t="str">
        <x:f t="array" ref="H143:H143">IFERROR(INDEX(창고검색범위,SMALL(IF((찾을값=창고검색),MATCH(ROW(창고검색),ROW(창고검색)),""),ROWS($A$1:G142)),COLUMNS($A$1:G142)),"")</x:f>
        <x:v/>
      </x:c>
      <x:c r="I143" s="117" t="str">
        <x:f t="array" ref="I143:I143">IFERROR(INDEX(창고검색범위,SMALL(IF((찾을값=창고검색),MATCH(ROW(창고검색),ROW(창고검색)),""),ROWS($A$1:H142)),COLUMNS($A$1:H142)),"")</x:f>
        <x:v/>
      </x:c>
      <x:c r="J143" s="118" t="str">
        <x:f t="array" ref="J143:J143">IFERROR(INDEX(창고검색범위,SMALL(IF((찾을값=창고검색),MATCH(ROW(창고검색),ROW(창고검색)),""),ROWS($A$1:I142)),COLUMNS($A$1:I142)),"")</x:f>
        <x:v/>
      </x:c>
    </x:row>
    <x:row r="144" spans="1:10">
      <x:c r="A144" s="172"/>
      <x:c r="B144" s="7" t="str">
        <x:f t="array" ref="B144:B144">IFERROR(INDEX(창고검색범위,SMALL(IF((찾을값=창고검색),MATCH(ROW(창고검색),ROW(창고검색)),""),ROWS($A$1:A143)),COLUMNS($A$1:A143)),"")</x:f>
        <x:v/>
      </x:c>
      <x:c r="C144" s="7" t="str">
        <x:f t="array" ref="C144:C144">IFERROR(INDEX(창고검색범위,SMALL(IF((찾을값=창고검색),MATCH(ROW(창고검색),ROW(창고검색)),""),ROWS($A$1:B143)),COLUMNS($A$1:B143)),"")</x:f>
        <x:v/>
      </x:c>
      <x:c r="D144" s="7" t="str">
        <x:f t="array" ref="D144:D144">IFERROR(INDEX(창고검색범위,SMALL(IF((찾을값=창고검색),MATCH(ROW(창고검색),ROW(창고검색)),""),ROWS($A$1:C143)),COLUMNS($A$1:C143)),"")</x:f>
        <x:v/>
      </x:c>
      <x:c r="E144" s="7" t="str">
        <x:f t="array" ref="E144:E144">IFERROR(INDEX(창고검색범위,SMALL(IF((찾을값=창고검색),MATCH(ROW(창고검색),ROW(창고검색)),""),ROWS($A$1:D143)),COLUMNS($A$1:D143)),"")</x:f>
        <x:v/>
      </x:c>
      <x:c r="F144" s="7" t="str">
        <x:f t="array" ref="F144:F144">IFERROR(INDEX(창고검색범위,SMALL(IF((찾을값=창고검색),MATCH(ROW(창고검색),ROW(창고검색)),""),ROWS($A$1:E143)),COLUMNS($A$1:E143)),"")</x:f>
        <x:v/>
      </x:c>
      <x:c r="G144" s="7" t="str">
        <x:f t="array" ref="G144:G144">IFERROR(INDEX(창고검색범위,SMALL(IF((찾을값=창고검색),MATCH(ROW(창고검색),ROW(창고검색)),""),ROWS($A$1:F143)),COLUMNS($A$1:F143)),"")</x:f>
        <x:v/>
      </x:c>
      <x:c r="H144" s="7" t="str">
        <x:f t="array" ref="H144:H144">IFERROR(INDEX(창고검색범위,SMALL(IF((찾을값=창고검색),MATCH(ROW(창고검색),ROW(창고검색)),""),ROWS($A$1:G143)),COLUMNS($A$1:G143)),"")</x:f>
        <x:v/>
      </x:c>
      <x:c r="I144" s="119" t="str">
        <x:f t="array" ref="I144:I144">IFERROR(INDEX(창고검색범위,SMALL(IF((찾을값=창고검색),MATCH(ROW(창고검색),ROW(창고검색)),""),ROWS($A$1:H143)),COLUMNS($A$1:H143)),"")</x:f>
        <x:v/>
      </x:c>
      <x:c r="J144" s="120" t="str">
        <x:f t="array" ref="J144:J144">IFERROR(INDEX(창고검색범위,SMALL(IF((찾을값=창고검색),MATCH(ROW(창고검색),ROW(창고검색)),""),ROWS($A$1:I143)),COLUMNS($A$1:I143)),"")</x:f>
        <x:v/>
      </x:c>
    </x:row>
    <x:row r="145" spans="1:10">
      <x:c r="A145" s="173"/>
      <x:c r="B145" s="8" t="str">
        <x:f t="array" ref="B145:B145">IFERROR(INDEX(창고검색범위,SMALL(IF((찾을값=창고검색),MATCH(ROW(창고검색),ROW(창고검색)),""),ROWS($A$1:A144)),COLUMNS($A$1:A144)),"")</x:f>
        <x:v/>
      </x:c>
      <x:c r="C145" s="8" t="str">
        <x:f t="array" ref="C145:C145">IFERROR(INDEX(창고검색범위,SMALL(IF((찾을값=창고검색),MATCH(ROW(창고검색),ROW(창고검색)),""),ROWS($A$1:B144)),COLUMNS($A$1:B144)),"")</x:f>
        <x:v/>
      </x:c>
      <x:c r="D145" s="8" t="str">
        <x:f t="array" ref="D145:D145">IFERROR(INDEX(창고검색범위,SMALL(IF((찾을값=창고검색),MATCH(ROW(창고검색),ROW(창고검색)),""),ROWS($A$1:C144)),COLUMNS($A$1:C144)),"")</x:f>
        <x:v/>
      </x:c>
      <x:c r="E145" s="8" t="str">
        <x:f t="array" ref="E145:E145">IFERROR(INDEX(창고검색범위,SMALL(IF((찾을값=창고검색),MATCH(ROW(창고검색),ROW(창고검색)),""),ROWS($A$1:D144)),COLUMNS($A$1:D144)),"")</x:f>
        <x:v/>
      </x:c>
      <x:c r="F145" s="8" t="str">
        <x:f t="array" ref="F145:F145">IFERROR(INDEX(창고검색범위,SMALL(IF((찾을값=창고검색),MATCH(ROW(창고검색),ROW(창고검색)),""),ROWS($A$1:E144)),COLUMNS($A$1:E144)),"")</x:f>
        <x:v/>
      </x:c>
      <x:c r="G145" s="8" t="str">
        <x:f t="array" ref="G145:G145">IFERROR(INDEX(창고검색범위,SMALL(IF((찾을값=창고검색),MATCH(ROW(창고검색),ROW(창고검색)),""),ROWS($A$1:F144)),COLUMNS($A$1:F144)),"")</x:f>
        <x:v/>
      </x:c>
      <x:c r="H145" s="8" t="str">
        <x:f t="array" ref="H145:H145">IFERROR(INDEX(창고검색범위,SMALL(IF((찾을값=창고검색),MATCH(ROW(창고검색),ROW(창고검색)),""),ROWS($A$1:G144)),COLUMNS($A$1:G144)),"")</x:f>
        <x:v/>
      </x:c>
      <x:c r="I145" s="117" t="str">
        <x:f t="array" ref="I145:I145">IFERROR(INDEX(창고검색범위,SMALL(IF((찾을값=창고검색),MATCH(ROW(창고검색),ROW(창고검색)),""),ROWS($A$1:H144)),COLUMNS($A$1:H144)),"")</x:f>
        <x:v/>
      </x:c>
      <x:c r="J145" s="118" t="str">
        <x:f t="array" ref="J145:J145">IFERROR(INDEX(창고검색범위,SMALL(IF((찾을값=창고검색),MATCH(ROW(창고검색),ROW(창고검색)),""),ROWS($A$1:I144)),COLUMNS($A$1:I144)),"")</x:f>
        <x:v/>
      </x:c>
    </x:row>
    <x:row r="146" spans="1:10">
      <x:c r="A146" s="172"/>
      <x:c r="B146" s="7" t="str">
        <x:f t="array" ref="B146:B146">IFERROR(INDEX(창고검색범위,SMALL(IF((찾을값=창고검색),MATCH(ROW(창고검색),ROW(창고검색)),""),ROWS($A$1:A145)),COLUMNS($A$1:A145)),"")</x:f>
        <x:v/>
      </x:c>
      <x:c r="C146" s="7" t="str">
        <x:f t="array" ref="C146:C146">IFERROR(INDEX(창고검색범위,SMALL(IF((찾을값=창고검색),MATCH(ROW(창고검색),ROW(창고검색)),""),ROWS($A$1:B145)),COLUMNS($A$1:B145)),"")</x:f>
        <x:v/>
      </x:c>
      <x:c r="D146" s="7" t="str">
        <x:f t="array" ref="D146:D146">IFERROR(INDEX(창고검색범위,SMALL(IF((찾을값=창고검색),MATCH(ROW(창고검색),ROW(창고검색)),""),ROWS($A$1:C145)),COLUMNS($A$1:C145)),"")</x:f>
        <x:v/>
      </x:c>
      <x:c r="E146" s="7" t="str">
        <x:f t="array" ref="E146:E146">IFERROR(INDEX(창고검색범위,SMALL(IF((찾을값=창고검색),MATCH(ROW(창고검색),ROW(창고검색)),""),ROWS($A$1:D145)),COLUMNS($A$1:D145)),"")</x:f>
        <x:v/>
      </x:c>
      <x:c r="F146" s="7" t="str">
        <x:f t="array" ref="F146:F146">IFERROR(INDEX(창고검색범위,SMALL(IF((찾을값=창고검색),MATCH(ROW(창고검색),ROW(창고검색)),""),ROWS($A$1:E145)),COLUMNS($A$1:E145)),"")</x:f>
        <x:v/>
      </x:c>
      <x:c r="G146" s="7" t="str">
        <x:f t="array" ref="G146:G146">IFERROR(INDEX(창고검색범위,SMALL(IF((찾을값=창고검색),MATCH(ROW(창고검색),ROW(창고검색)),""),ROWS($A$1:F145)),COLUMNS($A$1:F145)),"")</x:f>
        <x:v/>
      </x:c>
      <x:c r="H146" s="7" t="str">
        <x:f t="array" ref="H146:H146">IFERROR(INDEX(창고검색범위,SMALL(IF((찾을값=창고검색),MATCH(ROW(창고검색),ROW(창고검색)),""),ROWS($A$1:G145)),COLUMNS($A$1:G145)),"")</x:f>
        <x:v/>
      </x:c>
      <x:c r="I146" s="119" t="str">
        <x:f t="array" ref="I146:I146">IFERROR(INDEX(창고검색범위,SMALL(IF((찾을값=창고검색),MATCH(ROW(창고검색),ROW(창고검색)),""),ROWS($A$1:H145)),COLUMNS($A$1:H145)),"")</x:f>
        <x:v/>
      </x:c>
      <x:c r="J146" s="120" t="str">
        <x:f t="array" ref="J146:J146">IFERROR(INDEX(창고검색범위,SMALL(IF((찾을값=창고검색),MATCH(ROW(창고검색),ROW(창고검색)),""),ROWS($A$1:I145)),COLUMNS($A$1:I145)),"")</x:f>
        <x:v/>
      </x:c>
    </x:row>
    <x:row r="147" spans="1:10">
      <x:c r="A147" s="173"/>
      <x:c r="B147" s="8" t="str">
        <x:f t="array" ref="B147:B147">IFERROR(INDEX(창고검색범위,SMALL(IF((찾을값=창고검색),MATCH(ROW(창고검색),ROW(창고검색)),""),ROWS($A$1:A146)),COLUMNS($A$1:A146)),"")</x:f>
        <x:v/>
      </x:c>
      <x:c r="C147" s="8" t="str">
        <x:f t="array" ref="C147:C147">IFERROR(INDEX(창고검색범위,SMALL(IF((찾을값=창고검색),MATCH(ROW(창고검색),ROW(창고검색)),""),ROWS($A$1:B146)),COLUMNS($A$1:B146)),"")</x:f>
        <x:v/>
      </x:c>
      <x:c r="D147" s="8" t="str">
        <x:f t="array" ref="D147:D147">IFERROR(INDEX(창고검색범위,SMALL(IF((찾을값=창고검색),MATCH(ROW(창고검색),ROW(창고검색)),""),ROWS($A$1:C146)),COLUMNS($A$1:C146)),"")</x:f>
        <x:v/>
      </x:c>
      <x:c r="E147" s="8" t="str">
        <x:f t="array" ref="E147:E147">IFERROR(INDEX(창고검색범위,SMALL(IF((찾을값=창고검색),MATCH(ROW(창고검색),ROW(창고검색)),""),ROWS($A$1:D146)),COLUMNS($A$1:D146)),"")</x:f>
        <x:v/>
      </x:c>
      <x:c r="F147" s="8" t="str">
        <x:f t="array" ref="F147:F147">IFERROR(INDEX(창고검색범위,SMALL(IF((찾을값=창고검색),MATCH(ROW(창고검색),ROW(창고검색)),""),ROWS($A$1:E146)),COLUMNS($A$1:E146)),"")</x:f>
        <x:v/>
      </x:c>
      <x:c r="G147" s="8" t="str">
        <x:f t="array" ref="G147:G147">IFERROR(INDEX(창고검색범위,SMALL(IF((찾을값=창고검색),MATCH(ROW(창고검색),ROW(창고검색)),""),ROWS($A$1:F146)),COLUMNS($A$1:F146)),"")</x:f>
        <x:v/>
      </x:c>
      <x:c r="H147" s="8" t="str">
        <x:f t="array" ref="H147:H147">IFERROR(INDEX(창고검색범위,SMALL(IF((찾을값=창고검색),MATCH(ROW(창고검색),ROW(창고검색)),""),ROWS($A$1:G146)),COLUMNS($A$1:G146)),"")</x:f>
        <x:v/>
      </x:c>
      <x:c r="I147" s="117" t="str">
        <x:f t="array" ref="I147:I147">IFERROR(INDEX(창고검색범위,SMALL(IF((찾을값=창고검색),MATCH(ROW(창고검색),ROW(창고검색)),""),ROWS($A$1:H146)),COLUMNS($A$1:H146)),"")</x:f>
        <x:v/>
      </x:c>
      <x:c r="J147" s="118" t="str">
        <x:f t="array" ref="J147:J147">IFERROR(INDEX(창고검색범위,SMALL(IF((찾을값=창고검색),MATCH(ROW(창고검색),ROW(창고검색)),""),ROWS($A$1:I146)),COLUMNS($A$1:I146)),"")</x:f>
        <x:v/>
      </x:c>
    </x:row>
    <x:row r="148" spans="1:10">
      <x:c r="A148" s="172"/>
      <x:c r="B148" s="7" t="str">
        <x:f t="array" ref="B148:B148">IFERROR(INDEX(창고검색범위,SMALL(IF((찾을값=창고검색),MATCH(ROW(창고검색),ROW(창고검색)),""),ROWS($A$1:A147)),COLUMNS($A$1:A147)),"")</x:f>
        <x:v/>
      </x:c>
      <x:c r="C148" s="7" t="str">
        <x:f t="array" ref="C148:C148">IFERROR(INDEX(창고검색범위,SMALL(IF((찾을값=창고검색),MATCH(ROW(창고검색),ROW(창고검색)),""),ROWS($A$1:B147)),COLUMNS($A$1:B147)),"")</x:f>
        <x:v/>
      </x:c>
      <x:c r="D148" s="7" t="str">
        <x:f t="array" ref="D148:D148">IFERROR(INDEX(창고검색범위,SMALL(IF((찾을값=창고검색),MATCH(ROW(창고검색),ROW(창고검색)),""),ROWS($A$1:C147)),COLUMNS($A$1:C147)),"")</x:f>
        <x:v/>
      </x:c>
      <x:c r="E148" s="7" t="str">
        <x:f t="array" ref="E148:E148">IFERROR(INDEX(창고검색범위,SMALL(IF((찾을값=창고검색),MATCH(ROW(창고검색),ROW(창고검색)),""),ROWS($A$1:D147)),COLUMNS($A$1:D147)),"")</x:f>
        <x:v/>
      </x:c>
      <x:c r="F148" s="7" t="str">
        <x:f t="array" ref="F148:F148">IFERROR(INDEX(창고검색범위,SMALL(IF((찾을값=창고검색),MATCH(ROW(창고검색),ROW(창고검색)),""),ROWS($A$1:E147)),COLUMNS($A$1:E147)),"")</x:f>
        <x:v/>
      </x:c>
      <x:c r="G148" s="7" t="str">
        <x:f t="array" ref="G148:G148">IFERROR(INDEX(창고검색범위,SMALL(IF((찾을값=창고검색),MATCH(ROW(창고검색),ROW(창고검색)),""),ROWS($A$1:F147)),COLUMNS($A$1:F147)),"")</x:f>
        <x:v/>
      </x:c>
      <x:c r="H148" s="7" t="str">
        <x:f t="array" ref="H148:H148">IFERROR(INDEX(창고검색범위,SMALL(IF((찾을값=창고검색),MATCH(ROW(창고검색),ROW(창고검색)),""),ROWS($A$1:G147)),COLUMNS($A$1:G147)),"")</x:f>
        <x:v/>
      </x:c>
      <x:c r="I148" s="119" t="str">
        <x:f t="array" ref="I148:I148">IFERROR(INDEX(창고검색범위,SMALL(IF((찾을값=창고검색),MATCH(ROW(창고검색),ROW(창고검색)),""),ROWS($A$1:H147)),COLUMNS($A$1:H147)),"")</x:f>
        <x:v/>
      </x:c>
      <x:c r="J148" s="120" t="str">
        <x:f t="array" ref="J148:J148">IFERROR(INDEX(창고검색범위,SMALL(IF((찾을값=창고검색),MATCH(ROW(창고검색),ROW(창고검색)),""),ROWS($A$1:I147)),COLUMNS($A$1:I147)),"")</x:f>
        <x:v/>
      </x:c>
    </x:row>
    <x:row r="149" spans="1:10">
      <x:c r="A149" s="173"/>
      <x:c r="B149" s="8" t="str">
        <x:f t="array" ref="B149:B149">IFERROR(INDEX(창고검색범위,SMALL(IF((찾을값=창고검색),MATCH(ROW(창고검색),ROW(창고검색)),""),ROWS($A$1:A148)),COLUMNS($A$1:A148)),"")</x:f>
        <x:v/>
      </x:c>
      <x:c r="C149" s="8" t="str">
        <x:f t="array" ref="C149:C149">IFERROR(INDEX(창고검색범위,SMALL(IF((찾을값=창고검색),MATCH(ROW(창고검색),ROW(창고검색)),""),ROWS($A$1:B148)),COLUMNS($A$1:B148)),"")</x:f>
        <x:v/>
      </x:c>
      <x:c r="D149" s="8" t="str">
        <x:f t="array" ref="D149:D149">IFERROR(INDEX(창고검색범위,SMALL(IF((찾을값=창고검색),MATCH(ROW(창고검색),ROW(창고검색)),""),ROWS($A$1:C148)),COLUMNS($A$1:C148)),"")</x:f>
        <x:v/>
      </x:c>
      <x:c r="E149" s="8" t="str">
        <x:f t="array" ref="E149:E149">IFERROR(INDEX(창고검색범위,SMALL(IF((찾을값=창고검색),MATCH(ROW(창고검색),ROW(창고검색)),""),ROWS($A$1:D148)),COLUMNS($A$1:D148)),"")</x:f>
        <x:v/>
      </x:c>
      <x:c r="F149" s="8" t="str">
        <x:f t="array" ref="F149:F149">IFERROR(INDEX(창고검색범위,SMALL(IF((찾을값=창고검색),MATCH(ROW(창고검색),ROW(창고검색)),""),ROWS($A$1:E148)),COLUMNS($A$1:E148)),"")</x:f>
        <x:v/>
      </x:c>
      <x:c r="G149" s="8" t="str">
        <x:f t="array" ref="G149:G149">IFERROR(INDEX(창고검색범위,SMALL(IF((찾을값=창고검색),MATCH(ROW(창고검색),ROW(창고검색)),""),ROWS($A$1:F148)),COLUMNS($A$1:F148)),"")</x:f>
        <x:v/>
      </x:c>
      <x:c r="H149" s="8" t="str">
        <x:f t="array" ref="H149:H149">IFERROR(INDEX(창고검색범위,SMALL(IF((찾을값=창고검색),MATCH(ROW(창고검색),ROW(창고검색)),""),ROWS($A$1:G148)),COLUMNS($A$1:G148)),"")</x:f>
        <x:v/>
      </x:c>
      <x:c r="I149" s="117" t="str">
        <x:f t="array" ref="I149:I149">IFERROR(INDEX(창고검색범위,SMALL(IF((찾을값=창고검색),MATCH(ROW(창고검색),ROW(창고검색)),""),ROWS($A$1:H148)),COLUMNS($A$1:H148)),"")</x:f>
        <x:v/>
      </x:c>
      <x:c r="J149" s="118" t="str">
        <x:f t="array" ref="J149:J149">IFERROR(INDEX(창고검색범위,SMALL(IF((찾을값=창고검색),MATCH(ROW(창고검색),ROW(창고검색)),""),ROWS($A$1:I148)),COLUMNS($A$1:I148)),"")</x:f>
        <x:v/>
      </x:c>
    </x:row>
    <x:row r="150" spans="1:10">
      <x:c r="A150" s="172"/>
      <x:c r="B150" s="7" t="str">
        <x:f t="array" ref="B150:B150">IFERROR(INDEX(창고검색범위,SMALL(IF((찾을값=창고검색),MATCH(ROW(창고검색),ROW(창고검색)),""),ROWS($A$1:A149)),COLUMNS($A$1:A149)),"")</x:f>
        <x:v/>
      </x:c>
      <x:c r="C150" s="7" t="str">
        <x:f t="array" ref="C150:C150">IFERROR(INDEX(창고검색범위,SMALL(IF((찾을값=창고검색),MATCH(ROW(창고검색),ROW(창고검색)),""),ROWS($A$1:B149)),COLUMNS($A$1:B149)),"")</x:f>
        <x:v/>
      </x:c>
      <x:c r="D150" s="7" t="str">
        <x:f t="array" ref="D150:D150">IFERROR(INDEX(창고검색범위,SMALL(IF((찾을값=창고검색),MATCH(ROW(창고검색),ROW(창고검색)),""),ROWS($A$1:C149)),COLUMNS($A$1:C149)),"")</x:f>
        <x:v/>
      </x:c>
      <x:c r="E150" s="7" t="str">
        <x:f t="array" ref="E150:E150">IFERROR(INDEX(창고검색범위,SMALL(IF((찾을값=창고검색),MATCH(ROW(창고검색),ROW(창고검색)),""),ROWS($A$1:D149)),COLUMNS($A$1:D149)),"")</x:f>
        <x:v/>
      </x:c>
      <x:c r="F150" s="7" t="str">
        <x:f t="array" ref="F150:F150">IFERROR(INDEX(창고검색범위,SMALL(IF((찾을값=창고검색),MATCH(ROW(창고검색),ROW(창고검색)),""),ROWS($A$1:E149)),COLUMNS($A$1:E149)),"")</x:f>
        <x:v/>
      </x:c>
      <x:c r="G150" s="7" t="str">
        <x:f t="array" ref="G150:G150">IFERROR(INDEX(창고검색범위,SMALL(IF((찾을값=창고검색),MATCH(ROW(창고검색),ROW(창고검색)),""),ROWS($A$1:F149)),COLUMNS($A$1:F149)),"")</x:f>
        <x:v/>
      </x:c>
      <x:c r="H150" s="7" t="str">
        <x:f t="array" ref="H150:H150">IFERROR(INDEX(창고검색범위,SMALL(IF((찾을값=창고검색),MATCH(ROW(창고검색),ROW(창고검색)),""),ROWS($A$1:G149)),COLUMNS($A$1:G149)),"")</x:f>
        <x:v/>
      </x:c>
      <x:c r="I150" s="119" t="str">
        <x:f t="array" ref="I150:I150">IFERROR(INDEX(창고검색범위,SMALL(IF((찾을값=창고검색),MATCH(ROW(창고검색),ROW(창고검색)),""),ROWS($A$1:H149)),COLUMNS($A$1:H149)),"")</x:f>
        <x:v/>
      </x:c>
      <x:c r="J150" s="120" t="str">
        <x:f t="array" ref="J150:J150">IFERROR(INDEX(창고검색범위,SMALL(IF((찾을값=창고검색),MATCH(ROW(창고검색),ROW(창고검색)),""),ROWS($A$1:I149)),COLUMNS($A$1:I149)),"")</x:f>
        <x:v/>
      </x:c>
    </x:row>
    <x:row r="151" spans="1:10">
      <x:c r="A151" s="173"/>
      <x:c r="B151" s="8" t="str">
        <x:f t="array" ref="B151:B151">IFERROR(INDEX(창고검색범위,SMALL(IF((찾을값=창고검색),MATCH(ROW(창고검색),ROW(창고검색)),""),ROWS($A$1:A150)),COLUMNS($A$1:A150)),"")</x:f>
        <x:v/>
      </x:c>
      <x:c r="C151" s="8" t="str">
        <x:f t="array" ref="C151:C151">IFERROR(INDEX(창고검색범위,SMALL(IF((찾을값=창고검색),MATCH(ROW(창고검색),ROW(창고검색)),""),ROWS($A$1:B150)),COLUMNS($A$1:B150)),"")</x:f>
        <x:v/>
      </x:c>
      <x:c r="D151" s="8" t="str">
        <x:f t="array" ref="D151:D151">IFERROR(INDEX(창고검색범위,SMALL(IF((찾을값=창고검색),MATCH(ROW(창고검색),ROW(창고검색)),""),ROWS($A$1:C150)),COLUMNS($A$1:C150)),"")</x:f>
        <x:v/>
      </x:c>
      <x:c r="E151" s="8" t="str">
        <x:f t="array" ref="E151:E151">IFERROR(INDEX(창고검색범위,SMALL(IF((찾을값=창고검색),MATCH(ROW(창고검색),ROW(창고검색)),""),ROWS($A$1:D150)),COLUMNS($A$1:D150)),"")</x:f>
        <x:v/>
      </x:c>
      <x:c r="F151" s="8" t="str">
        <x:f t="array" ref="F151:F151">IFERROR(INDEX(창고검색범위,SMALL(IF((찾을값=창고검색),MATCH(ROW(창고검색),ROW(창고검색)),""),ROWS($A$1:E150)),COLUMNS($A$1:E150)),"")</x:f>
        <x:v/>
      </x:c>
      <x:c r="G151" s="8" t="str">
        <x:f t="array" ref="G151:G151">IFERROR(INDEX(창고검색범위,SMALL(IF((찾을값=창고검색),MATCH(ROW(창고검색),ROW(창고검색)),""),ROWS($A$1:F150)),COLUMNS($A$1:F150)),"")</x:f>
        <x:v/>
      </x:c>
      <x:c r="H151" s="8" t="str">
        <x:f t="array" ref="H151:H151">IFERROR(INDEX(창고검색범위,SMALL(IF((찾을값=창고검색),MATCH(ROW(창고검색),ROW(창고검색)),""),ROWS($A$1:G150)),COLUMNS($A$1:G150)),"")</x:f>
        <x:v/>
      </x:c>
      <x:c r="I151" s="117" t="str">
        <x:f t="array" ref="I151:I151">IFERROR(INDEX(창고검색범위,SMALL(IF((찾을값=창고검색),MATCH(ROW(창고검색),ROW(창고검색)),""),ROWS($A$1:H150)),COLUMNS($A$1:H150)),"")</x:f>
        <x:v/>
      </x:c>
      <x:c r="J151" s="118" t="str">
        <x:f t="array" ref="J151:J151">IFERROR(INDEX(창고검색범위,SMALL(IF((찾을값=창고검색),MATCH(ROW(창고검색),ROW(창고검색)),""),ROWS($A$1:I150)),COLUMNS($A$1:I150)),"")</x:f>
        <x:v/>
      </x:c>
    </x:row>
    <x:row r="152" spans="1:10">
      <x:c r="A152" s="172"/>
      <x:c r="B152" s="7" t="str">
        <x:f t="array" ref="B152:B152">IFERROR(INDEX(창고검색범위,SMALL(IF((찾을값=창고검색),MATCH(ROW(창고검색),ROW(창고검색)),""),ROWS($A$1:A151)),COLUMNS($A$1:A151)),"")</x:f>
        <x:v/>
      </x:c>
      <x:c r="C152" s="7" t="str">
        <x:f t="array" ref="C152:C152">IFERROR(INDEX(창고검색범위,SMALL(IF((찾을값=창고검색),MATCH(ROW(창고검색),ROW(창고검색)),""),ROWS($A$1:B151)),COLUMNS($A$1:B151)),"")</x:f>
        <x:v/>
      </x:c>
      <x:c r="D152" s="7" t="str">
        <x:f t="array" ref="D152:D152">IFERROR(INDEX(창고검색범위,SMALL(IF((찾을값=창고검색),MATCH(ROW(창고검색),ROW(창고검색)),""),ROWS($A$1:C151)),COLUMNS($A$1:C151)),"")</x:f>
        <x:v/>
      </x:c>
      <x:c r="E152" s="7" t="str">
        <x:f t="array" ref="E152:E152">IFERROR(INDEX(창고검색범위,SMALL(IF((찾을값=창고검색),MATCH(ROW(창고검색),ROW(창고검색)),""),ROWS($A$1:D151)),COLUMNS($A$1:D151)),"")</x:f>
        <x:v/>
      </x:c>
      <x:c r="F152" s="7" t="str">
        <x:f t="array" ref="F152:F152">IFERROR(INDEX(창고검색범위,SMALL(IF((찾을값=창고검색),MATCH(ROW(창고검색),ROW(창고검색)),""),ROWS($A$1:E151)),COLUMNS($A$1:E151)),"")</x:f>
        <x:v/>
      </x:c>
      <x:c r="G152" s="7" t="str">
        <x:f t="array" ref="G152:G152">IFERROR(INDEX(창고검색범위,SMALL(IF((찾을값=창고검색),MATCH(ROW(창고검색),ROW(창고검색)),""),ROWS($A$1:F151)),COLUMNS($A$1:F151)),"")</x:f>
        <x:v/>
      </x:c>
      <x:c r="H152" s="7" t="str">
        <x:f t="array" ref="H152:H152">IFERROR(INDEX(창고검색범위,SMALL(IF((찾을값=창고검색),MATCH(ROW(창고검색),ROW(창고검색)),""),ROWS($A$1:G151)),COLUMNS($A$1:G151)),"")</x:f>
        <x:v/>
      </x:c>
      <x:c r="I152" s="119" t="str">
        <x:f t="array" ref="I152:I152">IFERROR(INDEX(창고검색범위,SMALL(IF((찾을값=창고검색),MATCH(ROW(창고검색),ROW(창고검색)),""),ROWS($A$1:H151)),COLUMNS($A$1:H151)),"")</x:f>
        <x:v/>
      </x:c>
      <x:c r="J152" s="120" t="str">
        <x:f t="array" ref="J152:J152">IFERROR(INDEX(창고검색범위,SMALL(IF((찾을값=창고검색),MATCH(ROW(창고검색),ROW(창고검색)),""),ROWS($A$1:I151)),COLUMNS($A$1:I151)),"")</x:f>
        <x:v/>
      </x:c>
    </x:row>
    <x:row r="153" spans="1:10">
      <x:c r="A153" s="173"/>
      <x:c r="B153" s="8" t="str">
        <x:f t="array" ref="B153:B153">IFERROR(INDEX(창고검색범위,SMALL(IF((찾을값=창고검색),MATCH(ROW(창고검색),ROW(창고검색)),""),ROWS($A$1:A152)),COLUMNS($A$1:A152)),"")</x:f>
        <x:v/>
      </x:c>
      <x:c r="C153" s="8" t="str">
        <x:f t="array" ref="C153:C153">IFERROR(INDEX(창고검색범위,SMALL(IF((찾을값=창고검색),MATCH(ROW(창고검색),ROW(창고검색)),""),ROWS($A$1:B152)),COLUMNS($A$1:B152)),"")</x:f>
        <x:v/>
      </x:c>
      <x:c r="D153" s="8" t="str">
        <x:f t="array" ref="D153:D153">IFERROR(INDEX(창고검색범위,SMALL(IF((찾을값=창고검색),MATCH(ROW(창고검색),ROW(창고검색)),""),ROWS($A$1:C152)),COLUMNS($A$1:C152)),"")</x:f>
        <x:v/>
      </x:c>
      <x:c r="E153" s="8" t="str">
        <x:f t="array" ref="E153:E153">IFERROR(INDEX(창고검색범위,SMALL(IF((찾을값=창고검색),MATCH(ROW(창고검색),ROW(창고검색)),""),ROWS($A$1:D152)),COLUMNS($A$1:D152)),"")</x:f>
        <x:v/>
      </x:c>
      <x:c r="F153" s="8" t="str">
        <x:f t="array" ref="F153:F153">IFERROR(INDEX(창고검색범위,SMALL(IF((찾을값=창고검색),MATCH(ROW(창고검색),ROW(창고검색)),""),ROWS($A$1:E152)),COLUMNS($A$1:E152)),"")</x:f>
        <x:v/>
      </x:c>
      <x:c r="G153" s="8" t="str">
        <x:f t="array" ref="G153:G153">IFERROR(INDEX(창고검색범위,SMALL(IF((찾을값=창고검색),MATCH(ROW(창고검색),ROW(창고검색)),""),ROWS($A$1:F152)),COLUMNS($A$1:F152)),"")</x:f>
        <x:v/>
      </x:c>
      <x:c r="H153" s="8" t="str">
        <x:f t="array" ref="H153:H153">IFERROR(INDEX(창고검색범위,SMALL(IF((찾을값=창고검색),MATCH(ROW(창고검색),ROW(창고검색)),""),ROWS($A$1:G152)),COLUMNS($A$1:G152)),"")</x:f>
        <x:v/>
      </x:c>
      <x:c r="I153" s="117" t="str">
        <x:f t="array" ref="I153:I153">IFERROR(INDEX(창고검색범위,SMALL(IF((찾을값=창고검색),MATCH(ROW(창고검색),ROW(창고검색)),""),ROWS($A$1:H152)),COLUMNS($A$1:H152)),"")</x:f>
        <x:v/>
      </x:c>
      <x:c r="J153" s="118" t="str">
        <x:f t="array" ref="J153:J153">IFERROR(INDEX(창고검색범위,SMALL(IF((찾을값=창고검색),MATCH(ROW(창고검색),ROW(창고검색)),""),ROWS($A$1:I152)),COLUMNS($A$1:I152)),"")</x:f>
        <x:v/>
      </x:c>
    </x:row>
    <x:row r="154" spans="1:10">
      <x:c r="A154" s="172"/>
      <x:c r="B154" s="7" t="str">
        <x:f t="array" ref="B154:B154">IFERROR(INDEX(창고검색범위,SMALL(IF((찾을값=창고검색),MATCH(ROW(창고검색),ROW(창고검색)),""),ROWS($A$1:A153)),COLUMNS($A$1:A153)),"")</x:f>
        <x:v/>
      </x:c>
      <x:c r="C154" s="7" t="str">
        <x:f t="array" ref="C154:C154">IFERROR(INDEX(창고검색범위,SMALL(IF((찾을값=창고검색),MATCH(ROW(창고검색),ROW(창고검색)),""),ROWS($A$1:B153)),COLUMNS($A$1:B153)),"")</x:f>
        <x:v/>
      </x:c>
      <x:c r="D154" s="7" t="str">
        <x:f t="array" ref="D154:D154">IFERROR(INDEX(창고검색범위,SMALL(IF((찾을값=창고검색),MATCH(ROW(창고검색),ROW(창고검색)),""),ROWS($A$1:C153)),COLUMNS($A$1:C153)),"")</x:f>
        <x:v/>
      </x:c>
      <x:c r="E154" s="7" t="str">
        <x:f t="array" ref="E154:E154">IFERROR(INDEX(창고검색범위,SMALL(IF((찾을값=창고검색),MATCH(ROW(창고검색),ROW(창고검색)),""),ROWS($A$1:D153)),COLUMNS($A$1:D153)),"")</x:f>
        <x:v/>
      </x:c>
      <x:c r="F154" s="7" t="str">
        <x:f t="array" ref="F154:F154">IFERROR(INDEX(창고검색범위,SMALL(IF((찾을값=창고검색),MATCH(ROW(창고검색),ROW(창고검색)),""),ROWS($A$1:E153)),COLUMNS($A$1:E153)),"")</x:f>
        <x:v/>
      </x:c>
      <x:c r="G154" s="7" t="str">
        <x:f t="array" ref="G154:G154">IFERROR(INDEX(창고검색범위,SMALL(IF((찾을값=창고검색),MATCH(ROW(창고검색),ROW(창고검색)),""),ROWS($A$1:F153)),COLUMNS($A$1:F153)),"")</x:f>
        <x:v/>
      </x:c>
      <x:c r="H154" s="7" t="str">
        <x:f t="array" ref="H154:H154">IFERROR(INDEX(창고검색범위,SMALL(IF((찾을값=창고검색),MATCH(ROW(창고검색),ROW(창고검색)),""),ROWS($A$1:G153)),COLUMNS($A$1:G153)),"")</x:f>
        <x:v/>
      </x:c>
      <x:c r="I154" s="119" t="str">
        <x:f t="array" ref="I154:I154">IFERROR(INDEX(창고검색범위,SMALL(IF((찾을값=창고검색),MATCH(ROW(창고검색),ROW(창고검색)),""),ROWS($A$1:H153)),COLUMNS($A$1:H153)),"")</x:f>
        <x:v/>
      </x:c>
      <x:c r="J154" s="120" t="str">
        <x:f t="array" ref="J154:J154">IFERROR(INDEX(창고검색범위,SMALL(IF((찾을값=창고검색),MATCH(ROW(창고검색),ROW(창고검색)),""),ROWS($A$1:I153)),COLUMNS($A$1:I153)),"")</x:f>
        <x:v/>
      </x:c>
    </x:row>
    <x:row r="155" spans="1:10">
      <x:c r="A155" s="173"/>
      <x:c r="B155" s="8" t="str">
        <x:f t="array" ref="B155:B155">IFERROR(INDEX(창고검색범위,SMALL(IF((찾을값=창고검색),MATCH(ROW(창고검색),ROW(창고검색)),""),ROWS($A$1:A154)),COLUMNS($A$1:A154)),"")</x:f>
        <x:v/>
      </x:c>
      <x:c r="C155" s="8" t="str">
        <x:f t="array" ref="C155:C155">IFERROR(INDEX(창고검색범위,SMALL(IF((찾을값=창고검색),MATCH(ROW(창고검색),ROW(창고검색)),""),ROWS($A$1:B154)),COLUMNS($A$1:B154)),"")</x:f>
        <x:v/>
      </x:c>
      <x:c r="D155" s="8" t="str">
        <x:f t="array" ref="D155:D155">IFERROR(INDEX(창고검색범위,SMALL(IF((찾을값=창고검색),MATCH(ROW(창고검색),ROW(창고검색)),""),ROWS($A$1:C154)),COLUMNS($A$1:C154)),"")</x:f>
        <x:v/>
      </x:c>
      <x:c r="E155" s="8" t="str">
        <x:f t="array" ref="E155:E155">IFERROR(INDEX(창고검색범위,SMALL(IF((찾을값=창고검색),MATCH(ROW(창고검색),ROW(창고검색)),""),ROWS($A$1:D154)),COLUMNS($A$1:D154)),"")</x:f>
        <x:v/>
      </x:c>
      <x:c r="F155" s="8" t="str">
        <x:f t="array" ref="F155:F155">IFERROR(INDEX(창고검색범위,SMALL(IF((찾을값=창고검색),MATCH(ROW(창고검색),ROW(창고검색)),""),ROWS($A$1:E154)),COLUMNS($A$1:E154)),"")</x:f>
        <x:v/>
      </x:c>
      <x:c r="G155" s="8" t="str">
        <x:f t="array" ref="G155:G155">IFERROR(INDEX(창고검색범위,SMALL(IF((찾을값=창고검색),MATCH(ROW(창고검색),ROW(창고검색)),""),ROWS($A$1:F154)),COLUMNS($A$1:F154)),"")</x:f>
        <x:v/>
      </x:c>
      <x:c r="H155" s="8" t="str">
        <x:f t="array" ref="H155:H155">IFERROR(INDEX(창고검색범위,SMALL(IF((찾을값=창고검색),MATCH(ROW(창고검색),ROW(창고검색)),""),ROWS($A$1:G154)),COLUMNS($A$1:G154)),"")</x:f>
        <x:v/>
      </x:c>
      <x:c r="I155" s="117" t="str">
        <x:f t="array" ref="I155:I155">IFERROR(INDEX(창고검색범위,SMALL(IF((찾을값=창고검색),MATCH(ROW(창고검색),ROW(창고검색)),""),ROWS($A$1:H154)),COLUMNS($A$1:H154)),"")</x:f>
        <x:v/>
      </x:c>
      <x:c r="J155" s="118" t="str">
        <x:f t="array" ref="J155:J155">IFERROR(INDEX(창고검색범위,SMALL(IF((찾을값=창고검색),MATCH(ROW(창고검색),ROW(창고검색)),""),ROWS($A$1:I154)),COLUMNS($A$1:I154)),"")</x:f>
        <x:v/>
      </x:c>
    </x:row>
    <x:row r="156" spans="1:10">
      <x:c r="A156" s="172"/>
      <x:c r="B156" s="7" t="str">
        <x:f t="array" ref="B156:B156">IFERROR(INDEX(창고검색범위,SMALL(IF((찾을값=창고검색),MATCH(ROW(창고검색),ROW(창고검색)),""),ROWS($A$1:A155)),COLUMNS($A$1:A155)),"")</x:f>
        <x:v/>
      </x:c>
      <x:c r="C156" s="7" t="str">
        <x:f t="array" ref="C156:C156">IFERROR(INDEX(창고검색범위,SMALL(IF((찾을값=창고검색),MATCH(ROW(창고검색),ROW(창고검색)),""),ROWS($A$1:B155)),COLUMNS($A$1:B155)),"")</x:f>
        <x:v/>
      </x:c>
      <x:c r="D156" s="7" t="str">
        <x:f t="array" ref="D156:D156">IFERROR(INDEX(창고검색범위,SMALL(IF((찾을값=창고검색),MATCH(ROW(창고검색),ROW(창고검색)),""),ROWS($A$1:C155)),COLUMNS($A$1:C155)),"")</x:f>
        <x:v/>
      </x:c>
      <x:c r="E156" s="7" t="str">
        <x:f t="array" ref="E156:E156">IFERROR(INDEX(창고검색범위,SMALL(IF((찾을값=창고검색),MATCH(ROW(창고검색),ROW(창고검색)),""),ROWS($A$1:D155)),COLUMNS($A$1:D155)),"")</x:f>
        <x:v/>
      </x:c>
      <x:c r="F156" s="7" t="str">
        <x:f t="array" ref="F156:F156">IFERROR(INDEX(창고검색범위,SMALL(IF((찾을값=창고검색),MATCH(ROW(창고검색),ROW(창고검색)),""),ROWS($A$1:E155)),COLUMNS($A$1:E155)),"")</x:f>
        <x:v/>
      </x:c>
      <x:c r="G156" s="7" t="str">
        <x:f t="array" ref="G156:G156">IFERROR(INDEX(창고검색범위,SMALL(IF((찾을값=창고검색),MATCH(ROW(창고검색),ROW(창고검색)),""),ROWS($A$1:F155)),COLUMNS($A$1:F155)),"")</x:f>
        <x:v/>
      </x:c>
      <x:c r="H156" s="7" t="str">
        <x:f t="array" ref="H156:H156">IFERROR(INDEX(창고검색범위,SMALL(IF((찾을값=창고검색),MATCH(ROW(창고검색),ROW(창고검색)),""),ROWS($A$1:G155)),COLUMNS($A$1:G155)),"")</x:f>
        <x:v/>
      </x:c>
      <x:c r="I156" s="119" t="str">
        <x:f t="array" ref="I156:I156">IFERROR(INDEX(창고검색범위,SMALL(IF((찾을값=창고검색),MATCH(ROW(창고검색),ROW(창고검색)),""),ROWS($A$1:H155)),COLUMNS($A$1:H155)),"")</x:f>
        <x:v/>
      </x:c>
      <x:c r="J156" s="120" t="str">
        <x:f t="array" ref="J156:J156">IFERROR(INDEX(창고검색범위,SMALL(IF((찾을값=창고검색),MATCH(ROW(창고검색),ROW(창고검색)),""),ROWS($A$1:I155)),COLUMNS($A$1:I155)),"")</x:f>
        <x:v/>
      </x:c>
    </x:row>
    <x:row r="157" spans="1:10">
      <x:c r="A157" s="173"/>
      <x:c r="B157" s="8" t="str">
        <x:f t="array" ref="B157:B157">IFERROR(INDEX(창고검색범위,SMALL(IF((찾을값=창고검색),MATCH(ROW(창고검색),ROW(창고검색)),""),ROWS($A$1:A156)),COLUMNS($A$1:A156)),"")</x:f>
        <x:v/>
      </x:c>
      <x:c r="C157" s="8" t="str">
        <x:f t="array" ref="C157:C157">IFERROR(INDEX(창고검색범위,SMALL(IF((찾을값=창고검색),MATCH(ROW(창고검색),ROW(창고검색)),""),ROWS($A$1:B156)),COLUMNS($A$1:B156)),"")</x:f>
        <x:v/>
      </x:c>
      <x:c r="D157" s="8" t="str">
        <x:f t="array" ref="D157:D157">IFERROR(INDEX(창고검색범위,SMALL(IF((찾을값=창고검색),MATCH(ROW(창고검색),ROW(창고검색)),""),ROWS($A$1:C156)),COLUMNS($A$1:C156)),"")</x:f>
        <x:v/>
      </x:c>
      <x:c r="E157" s="8" t="str">
        <x:f t="array" ref="E157:E157">IFERROR(INDEX(창고검색범위,SMALL(IF((찾을값=창고검색),MATCH(ROW(창고검색),ROW(창고검색)),""),ROWS($A$1:D156)),COLUMNS($A$1:D156)),"")</x:f>
        <x:v/>
      </x:c>
      <x:c r="F157" s="8" t="str">
        <x:f t="array" ref="F157:F157">IFERROR(INDEX(창고검색범위,SMALL(IF((찾을값=창고검색),MATCH(ROW(창고검색),ROW(창고검색)),""),ROWS($A$1:E156)),COLUMNS($A$1:E156)),"")</x:f>
        <x:v/>
      </x:c>
      <x:c r="G157" s="8" t="str">
        <x:f t="array" ref="G157:G157">IFERROR(INDEX(창고검색범위,SMALL(IF((찾을값=창고검색),MATCH(ROW(창고검색),ROW(창고검색)),""),ROWS($A$1:F156)),COLUMNS($A$1:F156)),"")</x:f>
        <x:v/>
      </x:c>
      <x:c r="H157" s="8" t="str">
        <x:f t="array" ref="H157:H157">IFERROR(INDEX(창고검색범위,SMALL(IF((찾을값=창고검색),MATCH(ROW(창고검색),ROW(창고검색)),""),ROWS($A$1:G156)),COLUMNS($A$1:G156)),"")</x:f>
        <x:v/>
      </x:c>
      <x:c r="I157" s="117" t="str">
        <x:f t="array" ref="I157:I157">IFERROR(INDEX(창고검색범위,SMALL(IF((찾을값=창고검색),MATCH(ROW(창고검색),ROW(창고검색)),""),ROWS($A$1:H156)),COLUMNS($A$1:H156)),"")</x:f>
        <x:v/>
      </x:c>
      <x:c r="J157" s="118" t="str">
        <x:f t="array" ref="J157:J157">IFERROR(INDEX(창고검색범위,SMALL(IF((찾을값=창고검색),MATCH(ROW(창고검색),ROW(창고검색)),""),ROWS($A$1:I156)),COLUMNS($A$1:I156)),"")</x:f>
        <x:v/>
      </x:c>
    </x:row>
    <x:row r="158" spans="1:10">
      <x:c r="A158" s="172"/>
      <x:c r="B158" s="7" t="str">
        <x:f t="array" ref="B158:B158">IFERROR(INDEX(창고검색범위,SMALL(IF((찾을값=창고검색),MATCH(ROW(창고검색),ROW(창고검색)),""),ROWS($A$1:A157)),COLUMNS($A$1:A157)),"")</x:f>
        <x:v/>
      </x:c>
      <x:c r="C158" s="7" t="str">
        <x:f t="array" ref="C158:C158">IFERROR(INDEX(창고검색범위,SMALL(IF((찾을값=창고검색),MATCH(ROW(창고검색),ROW(창고검색)),""),ROWS($A$1:B157)),COLUMNS($A$1:B157)),"")</x:f>
        <x:v/>
      </x:c>
      <x:c r="D158" s="7" t="str">
        <x:f t="array" ref="D158:D158">IFERROR(INDEX(창고검색범위,SMALL(IF((찾을값=창고검색),MATCH(ROW(창고검색),ROW(창고검색)),""),ROWS($A$1:C157)),COLUMNS($A$1:C157)),"")</x:f>
        <x:v/>
      </x:c>
      <x:c r="E158" s="7" t="str">
        <x:f t="array" ref="E158:E158">IFERROR(INDEX(창고검색범위,SMALL(IF((찾을값=창고검색),MATCH(ROW(창고검색),ROW(창고검색)),""),ROWS($A$1:D157)),COLUMNS($A$1:D157)),"")</x:f>
        <x:v/>
      </x:c>
      <x:c r="F158" s="7" t="str">
        <x:f t="array" ref="F158:F158">IFERROR(INDEX(창고검색범위,SMALL(IF((찾을값=창고검색),MATCH(ROW(창고검색),ROW(창고검색)),""),ROWS($A$1:E157)),COLUMNS($A$1:E157)),"")</x:f>
        <x:v/>
      </x:c>
      <x:c r="G158" s="7" t="str">
        <x:f t="array" ref="G158:G158">IFERROR(INDEX(창고검색범위,SMALL(IF((찾을값=창고검색),MATCH(ROW(창고검색),ROW(창고검색)),""),ROWS($A$1:F157)),COLUMNS($A$1:F157)),"")</x:f>
        <x:v/>
      </x:c>
      <x:c r="H158" s="7" t="str">
        <x:f t="array" ref="H158:H158">IFERROR(INDEX(창고검색범위,SMALL(IF((찾을값=창고검색),MATCH(ROW(창고검색),ROW(창고검색)),""),ROWS($A$1:G157)),COLUMNS($A$1:G157)),"")</x:f>
        <x:v/>
      </x:c>
      <x:c r="I158" s="119" t="str">
        <x:f t="array" ref="I158:I158">IFERROR(INDEX(창고검색범위,SMALL(IF((찾을값=창고검색),MATCH(ROW(창고검색),ROW(창고검색)),""),ROWS($A$1:H157)),COLUMNS($A$1:H157)),"")</x:f>
        <x:v/>
      </x:c>
      <x:c r="J158" s="120" t="str">
        <x:f t="array" ref="J158:J158">IFERROR(INDEX(창고검색범위,SMALL(IF((찾을값=창고검색),MATCH(ROW(창고검색),ROW(창고검색)),""),ROWS($A$1:I157)),COLUMNS($A$1:I157)),"")</x:f>
        <x:v/>
      </x:c>
    </x:row>
    <x:row r="159" spans="1:10">
      <x:c r="A159" s="173"/>
      <x:c r="B159" s="8" t="str">
        <x:f t="array" ref="B159:B159">IFERROR(INDEX(창고검색범위,SMALL(IF((찾을값=창고검색),MATCH(ROW(창고검색),ROW(창고검색)),""),ROWS($A$1:A158)),COLUMNS($A$1:A158)),"")</x:f>
        <x:v/>
      </x:c>
      <x:c r="C159" s="8" t="str">
        <x:f t="array" ref="C159:C159">IFERROR(INDEX(창고검색범위,SMALL(IF((찾을값=창고검색),MATCH(ROW(창고검색),ROW(창고검색)),""),ROWS($A$1:B158)),COLUMNS($A$1:B158)),"")</x:f>
        <x:v/>
      </x:c>
      <x:c r="D159" s="8" t="str">
        <x:f t="array" ref="D159:D159">IFERROR(INDEX(창고검색범위,SMALL(IF((찾을값=창고검색),MATCH(ROW(창고검색),ROW(창고검색)),""),ROWS($A$1:C158)),COLUMNS($A$1:C158)),"")</x:f>
        <x:v/>
      </x:c>
      <x:c r="E159" s="8" t="str">
        <x:f t="array" ref="E159:E159">IFERROR(INDEX(창고검색범위,SMALL(IF((찾을값=창고검색),MATCH(ROW(창고검색),ROW(창고검색)),""),ROWS($A$1:D158)),COLUMNS($A$1:D158)),"")</x:f>
        <x:v/>
      </x:c>
      <x:c r="F159" s="8" t="str">
        <x:f t="array" ref="F159:F159">IFERROR(INDEX(창고검색범위,SMALL(IF((찾을값=창고검색),MATCH(ROW(창고검색),ROW(창고검색)),""),ROWS($A$1:E158)),COLUMNS($A$1:E158)),"")</x:f>
        <x:v/>
      </x:c>
      <x:c r="G159" s="8" t="str">
        <x:f t="array" ref="G159:G159">IFERROR(INDEX(창고검색범위,SMALL(IF((찾을값=창고검색),MATCH(ROW(창고검색),ROW(창고검색)),""),ROWS($A$1:F158)),COLUMNS($A$1:F158)),"")</x:f>
        <x:v/>
      </x:c>
      <x:c r="H159" s="8" t="str">
        <x:f t="array" ref="H159:H159">IFERROR(INDEX(창고검색범위,SMALL(IF((찾을값=창고검색),MATCH(ROW(창고검색),ROW(창고검색)),""),ROWS($A$1:G158)),COLUMNS($A$1:G158)),"")</x:f>
        <x:v/>
      </x:c>
      <x:c r="I159" s="117" t="str">
        <x:f t="array" ref="I159:I159">IFERROR(INDEX(창고검색범위,SMALL(IF((찾을값=창고검색),MATCH(ROW(창고검색),ROW(창고검색)),""),ROWS($A$1:H158)),COLUMNS($A$1:H158)),"")</x:f>
        <x:v/>
      </x:c>
      <x:c r="J159" s="118" t="str">
        <x:f t="array" ref="J159:J159">IFERROR(INDEX(창고검색범위,SMALL(IF((찾을값=창고검색),MATCH(ROW(창고검색),ROW(창고검색)),""),ROWS($A$1:I158)),COLUMNS($A$1:I158)),"")</x:f>
        <x:v/>
      </x:c>
    </x:row>
    <x:row r="160" spans="1:10">
      <x:c r="A160" s="172"/>
      <x:c r="B160" s="7" t="str">
        <x:f t="array" ref="B160:B160">IFERROR(INDEX(창고검색범위,SMALL(IF((찾을값=창고검색),MATCH(ROW(창고검색),ROW(창고검색)),""),ROWS($A$1:A159)),COLUMNS($A$1:A159)),"")</x:f>
        <x:v/>
      </x:c>
      <x:c r="C160" s="7" t="str">
        <x:f t="array" ref="C160:C160">IFERROR(INDEX(창고검색범위,SMALL(IF((찾을값=창고검색),MATCH(ROW(창고검색),ROW(창고검색)),""),ROWS($A$1:B159)),COLUMNS($A$1:B159)),"")</x:f>
        <x:v/>
      </x:c>
      <x:c r="D160" s="7" t="str">
        <x:f t="array" ref="D160:D160">IFERROR(INDEX(창고검색범위,SMALL(IF((찾을값=창고검색),MATCH(ROW(창고검색),ROW(창고검색)),""),ROWS($A$1:C159)),COLUMNS($A$1:C159)),"")</x:f>
        <x:v/>
      </x:c>
      <x:c r="E160" s="7" t="str">
        <x:f t="array" ref="E160:E160">IFERROR(INDEX(창고검색범위,SMALL(IF((찾을값=창고검색),MATCH(ROW(창고검색),ROW(창고검색)),""),ROWS($A$1:D159)),COLUMNS($A$1:D159)),"")</x:f>
        <x:v/>
      </x:c>
      <x:c r="F160" s="7" t="str">
        <x:f t="array" ref="F160:F160">IFERROR(INDEX(창고검색범위,SMALL(IF((찾을값=창고검색),MATCH(ROW(창고검색),ROW(창고검색)),""),ROWS($A$1:E159)),COLUMNS($A$1:E159)),"")</x:f>
        <x:v/>
      </x:c>
      <x:c r="G160" s="7" t="str">
        <x:f t="array" ref="G160:G160">IFERROR(INDEX(창고검색범위,SMALL(IF((찾을값=창고검색),MATCH(ROW(창고검색),ROW(창고검색)),""),ROWS($A$1:F159)),COLUMNS($A$1:F159)),"")</x:f>
        <x:v/>
      </x:c>
      <x:c r="H160" s="7" t="str">
        <x:f t="array" ref="H160:H160">IFERROR(INDEX(창고검색범위,SMALL(IF((찾을값=창고검색),MATCH(ROW(창고검색),ROW(창고검색)),""),ROWS($A$1:G159)),COLUMNS($A$1:G159)),"")</x:f>
        <x:v/>
      </x:c>
      <x:c r="I160" s="119" t="str">
        <x:f t="array" ref="I160:I160">IFERROR(INDEX(창고검색범위,SMALL(IF((찾을값=창고검색),MATCH(ROW(창고검색),ROW(창고검색)),""),ROWS($A$1:H159)),COLUMNS($A$1:H159)),"")</x:f>
        <x:v/>
      </x:c>
      <x:c r="J160" s="120" t="str">
        <x:f t="array" ref="J160:J160">IFERROR(INDEX(창고검색범위,SMALL(IF((찾을값=창고검색),MATCH(ROW(창고검색),ROW(창고검색)),""),ROWS($A$1:I159)),COLUMNS($A$1:I159)),"")</x:f>
        <x:v/>
      </x:c>
    </x:row>
    <x:row r="161" spans="1:10">
      <x:c r="A161" s="173"/>
      <x:c r="B161" s="8" t="str">
        <x:f t="array" ref="B161:B161">IFERROR(INDEX(창고검색범위,SMALL(IF((찾을값=창고검색),MATCH(ROW(창고검색),ROW(창고검색)),""),ROWS($A$1:A160)),COLUMNS($A$1:A160)),"")</x:f>
        <x:v/>
      </x:c>
      <x:c r="C161" s="8" t="str">
        <x:f t="array" ref="C161:C161">IFERROR(INDEX(창고검색범위,SMALL(IF((찾을값=창고검색),MATCH(ROW(창고검색),ROW(창고검색)),""),ROWS($A$1:B160)),COLUMNS($A$1:B160)),"")</x:f>
        <x:v/>
      </x:c>
      <x:c r="D161" s="8" t="str">
        <x:f t="array" ref="D161:D161">IFERROR(INDEX(창고검색범위,SMALL(IF((찾을값=창고검색),MATCH(ROW(창고검색),ROW(창고검색)),""),ROWS($A$1:C160)),COLUMNS($A$1:C160)),"")</x:f>
        <x:v/>
      </x:c>
      <x:c r="E161" s="8" t="str">
        <x:f t="array" ref="E161:E161">IFERROR(INDEX(창고검색범위,SMALL(IF((찾을값=창고검색),MATCH(ROW(창고검색),ROW(창고검색)),""),ROWS($A$1:D160)),COLUMNS($A$1:D160)),"")</x:f>
        <x:v/>
      </x:c>
      <x:c r="F161" s="8" t="str">
        <x:f t="array" ref="F161:F161">IFERROR(INDEX(창고검색범위,SMALL(IF((찾을값=창고검색),MATCH(ROW(창고검색),ROW(창고검색)),""),ROWS($A$1:E160)),COLUMNS($A$1:E160)),"")</x:f>
        <x:v/>
      </x:c>
      <x:c r="G161" s="8" t="str">
        <x:f t="array" ref="G161:G161">IFERROR(INDEX(창고검색범위,SMALL(IF((찾을값=창고검색),MATCH(ROW(창고검색),ROW(창고검색)),""),ROWS($A$1:F160)),COLUMNS($A$1:F160)),"")</x:f>
        <x:v/>
      </x:c>
      <x:c r="H161" s="8" t="str">
        <x:f t="array" ref="H161:H161">IFERROR(INDEX(창고검색범위,SMALL(IF((찾을값=창고검색),MATCH(ROW(창고검색),ROW(창고검색)),""),ROWS($A$1:G160)),COLUMNS($A$1:G160)),"")</x:f>
        <x:v/>
      </x:c>
      <x:c r="I161" s="117" t="str">
        <x:f t="array" ref="I161:I161">IFERROR(INDEX(창고검색범위,SMALL(IF((찾을값=창고검색),MATCH(ROW(창고검색),ROW(창고검색)),""),ROWS($A$1:H160)),COLUMNS($A$1:H160)),"")</x:f>
        <x:v/>
      </x:c>
      <x:c r="J161" s="118" t="str">
        <x:f t="array" ref="J161:J161">IFERROR(INDEX(창고검색범위,SMALL(IF((찾을값=창고검색),MATCH(ROW(창고검색),ROW(창고검색)),""),ROWS($A$1:I160)),COLUMNS($A$1:I160)),"")</x:f>
        <x:v/>
      </x:c>
    </x:row>
    <x:row r="162" spans="1:10">
      <x:c r="A162" s="172"/>
      <x:c r="B162" s="7" t="str">
        <x:f t="array" ref="B162:B162">IFERROR(INDEX(창고검색범위,SMALL(IF((찾을값=창고검색),MATCH(ROW(창고검색),ROW(창고검색)),""),ROWS($A$1:A161)),COLUMNS($A$1:A161)),"")</x:f>
        <x:v/>
      </x:c>
      <x:c r="C162" s="7" t="str">
        <x:f t="array" ref="C162:C162">IFERROR(INDEX(창고검색범위,SMALL(IF((찾을값=창고검색),MATCH(ROW(창고검색),ROW(창고검색)),""),ROWS($A$1:B161)),COLUMNS($A$1:B161)),"")</x:f>
        <x:v/>
      </x:c>
      <x:c r="D162" s="7" t="str">
        <x:f t="array" ref="D162:D162">IFERROR(INDEX(창고검색범위,SMALL(IF((찾을값=창고검색),MATCH(ROW(창고검색),ROW(창고검색)),""),ROWS($A$1:C161)),COLUMNS($A$1:C161)),"")</x:f>
        <x:v/>
      </x:c>
      <x:c r="E162" s="7" t="str">
        <x:f t="array" ref="E162:E162">IFERROR(INDEX(창고검색범위,SMALL(IF((찾을값=창고검색),MATCH(ROW(창고검색),ROW(창고검색)),""),ROWS($A$1:D161)),COLUMNS($A$1:D161)),"")</x:f>
        <x:v/>
      </x:c>
      <x:c r="F162" s="7" t="str">
        <x:f t="array" ref="F162:F162">IFERROR(INDEX(창고검색범위,SMALL(IF((찾을값=창고검색),MATCH(ROW(창고검색),ROW(창고검색)),""),ROWS($A$1:E161)),COLUMNS($A$1:E161)),"")</x:f>
        <x:v/>
      </x:c>
      <x:c r="G162" s="7" t="str">
        <x:f t="array" ref="G162:G162">IFERROR(INDEX(창고검색범위,SMALL(IF((찾을값=창고검색),MATCH(ROW(창고검색),ROW(창고검색)),""),ROWS($A$1:F161)),COLUMNS($A$1:F161)),"")</x:f>
        <x:v/>
      </x:c>
      <x:c r="H162" s="7" t="str">
        <x:f t="array" ref="H162:H162">IFERROR(INDEX(창고검색범위,SMALL(IF((찾을값=창고검색),MATCH(ROW(창고검색),ROW(창고검색)),""),ROWS($A$1:G161)),COLUMNS($A$1:G161)),"")</x:f>
        <x:v/>
      </x:c>
      <x:c r="I162" s="119" t="str">
        <x:f t="array" ref="I162:I162">IFERROR(INDEX(창고검색범위,SMALL(IF((찾을값=창고검색),MATCH(ROW(창고검색),ROW(창고검색)),""),ROWS($A$1:H161)),COLUMNS($A$1:H161)),"")</x:f>
        <x:v/>
      </x:c>
      <x:c r="J162" s="120" t="str">
        <x:f t="array" ref="J162:J162">IFERROR(INDEX(창고검색범위,SMALL(IF((찾을값=창고검색),MATCH(ROW(창고검색),ROW(창고검색)),""),ROWS($A$1:I161)),COLUMNS($A$1:I161)),"")</x:f>
        <x:v/>
      </x:c>
    </x:row>
    <x:row r="163" spans="1:10">
      <x:c r="A163" s="173"/>
      <x:c r="B163" s="8" t="str">
        <x:f t="array" ref="B163:B163">IFERROR(INDEX(창고검색범위,SMALL(IF((찾을값=창고검색),MATCH(ROW(창고검색),ROW(창고검색)),""),ROWS($A$1:A162)),COLUMNS($A$1:A162)),"")</x:f>
        <x:v/>
      </x:c>
      <x:c r="C163" s="8" t="str">
        <x:f t="array" ref="C163:C163">IFERROR(INDEX(창고검색범위,SMALL(IF((찾을값=창고검색),MATCH(ROW(창고검색),ROW(창고검색)),""),ROWS($A$1:B162)),COLUMNS($A$1:B162)),"")</x:f>
        <x:v/>
      </x:c>
      <x:c r="D163" s="8" t="str">
        <x:f t="array" ref="D163:D163">IFERROR(INDEX(창고검색범위,SMALL(IF((찾을값=창고검색),MATCH(ROW(창고검색),ROW(창고검색)),""),ROWS($A$1:C162)),COLUMNS($A$1:C162)),"")</x:f>
        <x:v/>
      </x:c>
      <x:c r="E163" s="8" t="str">
        <x:f t="array" ref="E163:E163">IFERROR(INDEX(창고검색범위,SMALL(IF((찾을값=창고검색),MATCH(ROW(창고검색),ROW(창고검색)),""),ROWS($A$1:D162)),COLUMNS($A$1:D162)),"")</x:f>
        <x:v/>
      </x:c>
      <x:c r="F163" s="8" t="str">
        <x:f t="array" ref="F163:F163">IFERROR(INDEX(창고검색범위,SMALL(IF((찾을값=창고검색),MATCH(ROW(창고검색),ROW(창고검색)),""),ROWS($A$1:E162)),COLUMNS($A$1:E162)),"")</x:f>
        <x:v/>
      </x:c>
      <x:c r="G163" s="8" t="str">
        <x:f t="array" ref="G163:G163">IFERROR(INDEX(창고검색범위,SMALL(IF((찾을값=창고검색),MATCH(ROW(창고검색),ROW(창고검색)),""),ROWS($A$1:F162)),COLUMNS($A$1:F162)),"")</x:f>
        <x:v/>
      </x:c>
      <x:c r="H163" s="8" t="str">
        <x:f t="array" ref="H163:H163">IFERROR(INDEX(창고검색범위,SMALL(IF((찾을값=창고검색),MATCH(ROW(창고검색),ROW(창고검색)),""),ROWS($A$1:G162)),COLUMNS($A$1:G162)),"")</x:f>
        <x:v/>
      </x:c>
      <x:c r="I163" s="117" t="str">
        <x:f t="array" ref="I163:I163">IFERROR(INDEX(창고검색범위,SMALL(IF((찾을값=창고검색),MATCH(ROW(창고검색),ROW(창고검색)),""),ROWS($A$1:H162)),COLUMNS($A$1:H162)),"")</x:f>
        <x:v/>
      </x:c>
      <x:c r="J163" s="118" t="str">
        <x:f t="array" ref="J163:J163">IFERROR(INDEX(창고검색범위,SMALL(IF((찾을값=창고검색),MATCH(ROW(창고검색),ROW(창고검색)),""),ROWS($A$1:I162)),COLUMNS($A$1:I162)),"")</x:f>
        <x:v/>
      </x:c>
    </x:row>
    <x:row r="164" spans="1:10">
      <x:c r="A164" s="172"/>
      <x:c r="B164" s="7" t="str">
        <x:f t="array" ref="B164:B164">IFERROR(INDEX(창고검색범위,SMALL(IF((찾을값=창고검색),MATCH(ROW(창고검색),ROW(창고검색)),""),ROWS($A$1:A163)),COLUMNS($A$1:A163)),"")</x:f>
        <x:v/>
      </x:c>
      <x:c r="C164" s="7" t="str">
        <x:f t="array" ref="C164:C164">IFERROR(INDEX(창고검색범위,SMALL(IF((찾을값=창고검색),MATCH(ROW(창고검색),ROW(창고검색)),""),ROWS($A$1:B163)),COLUMNS($A$1:B163)),"")</x:f>
        <x:v/>
      </x:c>
      <x:c r="D164" s="7" t="str">
        <x:f t="array" ref="D164:D164">IFERROR(INDEX(창고검색범위,SMALL(IF((찾을값=창고검색),MATCH(ROW(창고검색),ROW(창고검색)),""),ROWS($A$1:C163)),COLUMNS($A$1:C163)),"")</x:f>
        <x:v/>
      </x:c>
      <x:c r="E164" s="7" t="str">
        <x:f t="array" ref="E164:E164">IFERROR(INDEX(창고검색범위,SMALL(IF((찾을값=창고검색),MATCH(ROW(창고검색),ROW(창고검색)),""),ROWS($A$1:D163)),COLUMNS($A$1:D163)),"")</x:f>
        <x:v/>
      </x:c>
      <x:c r="F164" s="7" t="str">
        <x:f t="array" ref="F164:F164">IFERROR(INDEX(창고검색범위,SMALL(IF((찾을값=창고검색),MATCH(ROW(창고검색),ROW(창고검색)),""),ROWS($A$1:E163)),COLUMNS($A$1:E163)),"")</x:f>
        <x:v/>
      </x:c>
      <x:c r="G164" s="7" t="str">
        <x:f t="array" ref="G164:G164">IFERROR(INDEX(창고검색범위,SMALL(IF((찾을값=창고검색),MATCH(ROW(창고검색),ROW(창고검색)),""),ROWS($A$1:F163)),COLUMNS($A$1:F163)),"")</x:f>
        <x:v/>
      </x:c>
      <x:c r="H164" s="7" t="str">
        <x:f t="array" ref="H164:H164">IFERROR(INDEX(창고검색범위,SMALL(IF((찾을값=창고검색),MATCH(ROW(창고검색),ROW(창고검색)),""),ROWS($A$1:G163)),COLUMNS($A$1:G163)),"")</x:f>
        <x:v/>
      </x:c>
      <x:c r="I164" s="119" t="str">
        <x:f t="array" ref="I164:I164">IFERROR(INDEX(창고검색범위,SMALL(IF((찾을값=창고검색),MATCH(ROW(창고검색),ROW(창고검색)),""),ROWS($A$1:H163)),COLUMNS($A$1:H163)),"")</x:f>
        <x:v/>
      </x:c>
      <x:c r="J164" s="120" t="str">
        <x:f t="array" ref="J164:J164">IFERROR(INDEX(창고검색범위,SMALL(IF((찾을값=창고검색),MATCH(ROW(창고검색),ROW(창고검색)),""),ROWS($A$1:I163)),COLUMNS($A$1:I163)),"")</x:f>
        <x:v/>
      </x:c>
    </x:row>
    <x:row r="165" spans="1:10">
      <x:c r="A165" s="173"/>
      <x:c r="B165" s="8" t="str">
        <x:f t="array" ref="B165:B165">IFERROR(INDEX(창고검색범위,SMALL(IF((찾을값=창고검색),MATCH(ROW(창고검색),ROW(창고검색)),""),ROWS($A$1:A164)),COLUMNS($A$1:A164)),"")</x:f>
        <x:v/>
      </x:c>
      <x:c r="C165" s="8" t="str">
        <x:f t="array" ref="C165:C165">IFERROR(INDEX(창고검색범위,SMALL(IF((찾을값=창고검색),MATCH(ROW(창고검색),ROW(창고검색)),""),ROWS($A$1:B164)),COLUMNS($A$1:B164)),"")</x:f>
        <x:v/>
      </x:c>
      <x:c r="D165" s="8" t="str">
        <x:f t="array" ref="D165:D165">IFERROR(INDEX(창고검색범위,SMALL(IF((찾을값=창고검색),MATCH(ROW(창고검색),ROW(창고검색)),""),ROWS($A$1:C164)),COLUMNS($A$1:C164)),"")</x:f>
        <x:v/>
      </x:c>
      <x:c r="E165" s="8" t="str">
        <x:f t="array" ref="E165:E165">IFERROR(INDEX(창고검색범위,SMALL(IF((찾을값=창고검색),MATCH(ROW(창고검색),ROW(창고검색)),""),ROWS($A$1:D164)),COLUMNS($A$1:D164)),"")</x:f>
        <x:v/>
      </x:c>
      <x:c r="F165" s="8" t="str">
        <x:f t="array" ref="F165:F165">IFERROR(INDEX(창고검색범위,SMALL(IF((찾을값=창고검색),MATCH(ROW(창고검색),ROW(창고검색)),""),ROWS($A$1:E164)),COLUMNS($A$1:E164)),"")</x:f>
        <x:v/>
      </x:c>
      <x:c r="G165" s="8" t="str">
        <x:f t="array" ref="G165:G165">IFERROR(INDEX(창고검색범위,SMALL(IF((찾을값=창고검색),MATCH(ROW(창고검색),ROW(창고검색)),""),ROWS($A$1:F164)),COLUMNS($A$1:F164)),"")</x:f>
        <x:v/>
      </x:c>
      <x:c r="H165" s="8" t="str">
        <x:f t="array" ref="H165:H165">IFERROR(INDEX(창고검색범위,SMALL(IF((찾을값=창고검색),MATCH(ROW(창고검색),ROW(창고검색)),""),ROWS($A$1:G164)),COLUMNS($A$1:G164)),"")</x:f>
        <x:v/>
      </x:c>
      <x:c r="I165" s="117" t="str">
        <x:f t="array" ref="I165:I165">IFERROR(INDEX(창고검색범위,SMALL(IF((찾을값=창고검색),MATCH(ROW(창고검색),ROW(창고검색)),""),ROWS($A$1:H164)),COLUMNS($A$1:H164)),"")</x:f>
        <x:v/>
      </x:c>
      <x:c r="J165" s="118" t="str">
        <x:f t="array" ref="J165:J165">IFERROR(INDEX(창고검색범위,SMALL(IF((찾을값=창고검색),MATCH(ROW(창고검색),ROW(창고검색)),""),ROWS($A$1:I164)),COLUMNS($A$1:I164)),"")</x:f>
        <x:v/>
      </x:c>
    </x:row>
    <x:row r="166" spans="1:10">
      <x:c r="A166" s="172"/>
      <x:c r="B166" s="7" t="str">
        <x:f t="array" ref="B166:B166">IFERROR(INDEX(창고검색범위,SMALL(IF((찾을값=창고검색),MATCH(ROW(창고검색),ROW(창고검색)),""),ROWS($A$1:A165)),COLUMNS($A$1:A165)),"")</x:f>
        <x:v/>
      </x:c>
      <x:c r="C166" s="7" t="str">
        <x:f t="array" ref="C166:C166">IFERROR(INDEX(창고검색범위,SMALL(IF((찾을값=창고검색),MATCH(ROW(창고검색),ROW(창고검색)),""),ROWS($A$1:B165)),COLUMNS($A$1:B165)),"")</x:f>
        <x:v/>
      </x:c>
      <x:c r="D166" s="7" t="str">
        <x:f t="array" ref="D166:D166">IFERROR(INDEX(창고검색범위,SMALL(IF((찾을값=창고검색),MATCH(ROW(창고검색),ROW(창고검색)),""),ROWS($A$1:C165)),COLUMNS($A$1:C165)),"")</x:f>
        <x:v/>
      </x:c>
      <x:c r="E166" s="7" t="str">
        <x:f t="array" ref="E166:E166">IFERROR(INDEX(창고검색범위,SMALL(IF((찾을값=창고검색),MATCH(ROW(창고검색),ROW(창고검색)),""),ROWS($A$1:D165)),COLUMNS($A$1:D165)),"")</x:f>
        <x:v/>
      </x:c>
      <x:c r="F166" s="7" t="str">
        <x:f t="array" ref="F166:F166">IFERROR(INDEX(창고검색범위,SMALL(IF((찾을값=창고검색),MATCH(ROW(창고검색),ROW(창고검색)),""),ROWS($A$1:E165)),COLUMNS($A$1:E165)),"")</x:f>
        <x:v/>
      </x:c>
      <x:c r="G166" s="7" t="str">
        <x:f t="array" ref="G166:G166">IFERROR(INDEX(창고검색범위,SMALL(IF((찾을값=창고검색),MATCH(ROW(창고검색),ROW(창고검색)),""),ROWS($A$1:F165)),COLUMNS($A$1:F165)),"")</x:f>
        <x:v/>
      </x:c>
      <x:c r="H166" s="7" t="str">
        <x:f t="array" ref="H166:H166">IFERROR(INDEX(창고검색범위,SMALL(IF((찾을값=창고검색),MATCH(ROW(창고검색),ROW(창고검색)),""),ROWS($A$1:G165)),COLUMNS($A$1:G165)),"")</x:f>
        <x:v/>
      </x:c>
      <x:c r="I166" s="119" t="str">
        <x:f t="array" ref="I166:I166">IFERROR(INDEX(창고검색범위,SMALL(IF((찾을값=창고검색),MATCH(ROW(창고검색),ROW(창고검색)),""),ROWS($A$1:H165)),COLUMNS($A$1:H165)),"")</x:f>
        <x:v/>
      </x:c>
      <x:c r="J166" s="120" t="str">
        <x:f t="array" ref="J166:J166">IFERROR(INDEX(창고검색범위,SMALL(IF((찾을값=창고검색),MATCH(ROW(창고검색),ROW(창고검색)),""),ROWS($A$1:I165)),COLUMNS($A$1:I165)),"")</x:f>
        <x:v/>
      </x:c>
    </x:row>
    <x:row r="167" spans="1:10">
      <x:c r="A167" s="173"/>
      <x:c r="B167" s="8" t="str">
        <x:f t="array" ref="B167:B167">IFERROR(INDEX(창고검색범위,SMALL(IF((찾을값=창고검색),MATCH(ROW(창고검색),ROW(창고검색)),""),ROWS($A$1:A166)),COLUMNS($A$1:A166)),"")</x:f>
        <x:v/>
      </x:c>
      <x:c r="C167" s="8" t="str">
        <x:f t="array" ref="C167:C167">IFERROR(INDEX(창고검색범위,SMALL(IF((찾을값=창고검색),MATCH(ROW(창고검색),ROW(창고검색)),""),ROWS($A$1:B166)),COLUMNS($A$1:B166)),"")</x:f>
        <x:v/>
      </x:c>
      <x:c r="D167" s="8" t="str">
        <x:f t="array" ref="D167:D167">IFERROR(INDEX(창고검색범위,SMALL(IF((찾을값=창고검색),MATCH(ROW(창고검색),ROW(창고검색)),""),ROWS($A$1:C166)),COLUMNS($A$1:C166)),"")</x:f>
        <x:v/>
      </x:c>
      <x:c r="E167" s="8" t="str">
        <x:f t="array" ref="E167:E167">IFERROR(INDEX(창고검색범위,SMALL(IF((찾을값=창고검색),MATCH(ROW(창고검색),ROW(창고검색)),""),ROWS($A$1:D166)),COLUMNS($A$1:D166)),"")</x:f>
        <x:v/>
      </x:c>
      <x:c r="F167" s="8" t="str">
        <x:f t="array" ref="F167:F167">IFERROR(INDEX(창고검색범위,SMALL(IF((찾을값=창고검색),MATCH(ROW(창고검색),ROW(창고검색)),""),ROWS($A$1:E166)),COLUMNS($A$1:E166)),"")</x:f>
        <x:v/>
      </x:c>
      <x:c r="G167" s="8" t="str">
        <x:f t="array" ref="G167:G167">IFERROR(INDEX(창고검색범위,SMALL(IF((찾을값=창고검색),MATCH(ROW(창고검색),ROW(창고검색)),""),ROWS($A$1:F166)),COLUMNS($A$1:F166)),"")</x:f>
        <x:v/>
      </x:c>
      <x:c r="H167" s="8" t="str">
        <x:f t="array" ref="H167:H167">IFERROR(INDEX(창고검색범위,SMALL(IF((찾을값=창고검색),MATCH(ROW(창고검색),ROW(창고검색)),""),ROWS($A$1:G166)),COLUMNS($A$1:G166)),"")</x:f>
        <x:v/>
      </x:c>
      <x:c r="I167" s="117" t="str">
        <x:f t="array" ref="I167:I167">IFERROR(INDEX(창고검색범위,SMALL(IF((찾을값=창고검색),MATCH(ROW(창고검색),ROW(창고검색)),""),ROWS($A$1:H166)),COLUMNS($A$1:H166)),"")</x:f>
        <x:v/>
      </x:c>
      <x:c r="J167" s="118" t="str">
        <x:f t="array" ref="J167:J167">IFERROR(INDEX(창고검색범위,SMALL(IF((찾을값=창고검색),MATCH(ROW(창고검색),ROW(창고검색)),""),ROWS($A$1:I166)),COLUMNS($A$1:I166)),"")</x:f>
        <x:v/>
      </x:c>
    </x:row>
    <x:row r="168" spans="1:10">
      <x:c r="A168" s="172"/>
      <x:c r="B168" s="7" t="str">
        <x:f t="array" ref="B168:B168">IFERROR(INDEX(창고검색범위,SMALL(IF((찾을값=창고검색),MATCH(ROW(창고검색),ROW(창고검색)),""),ROWS($A$1:A167)),COLUMNS($A$1:A167)),"")</x:f>
        <x:v/>
      </x:c>
      <x:c r="C168" s="7" t="str">
        <x:f t="array" ref="C168:C168">IFERROR(INDEX(창고검색범위,SMALL(IF((찾을값=창고검색),MATCH(ROW(창고검색),ROW(창고검색)),""),ROWS($A$1:B167)),COLUMNS($A$1:B167)),"")</x:f>
        <x:v/>
      </x:c>
      <x:c r="D168" s="7" t="str">
        <x:f t="array" ref="D168:D168">IFERROR(INDEX(창고검색범위,SMALL(IF((찾을값=창고검색),MATCH(ROW(창고검색),ROW(창고검색)),""),ROWS($A$1:C167)),COLUMNS($A$1:C167)),"")</x:f>
        <x:v/>
      </x:c>
      <x:c r="E168" s="7" t="str">
        <x:f t="array" ref="E168:E168">IFERROR(INDEX(창고검색범위,SMALL(IF((찾을값=창고검색),MATCH(ROW(창고검색),ROW(창고검색)),""),ROWS($A$1:D167)),COLUMNS($A$1:D167)),"")</x:f>
        <x:v/>
      </x:c>
      <x:c r="F168" s="7" t="str">
        <x:f t="array" ref="F168:F168">IFERROR(INDEX(창고검색범위,SMALL(IF((찾을값=창고검색),MATCH(ROW(창고검색),ROW(창고검색)),""),ROWS($A$1:E167)),COLUMNS($A$1:E167)),"")</x:f>
        <x:v/>
      </x:c>
      <x:c r="G168" s="7" t="str">
        <x:f t="array" ref="G168:G168">IFERROR(INDEX(창고검색범위,SMALL(IF((찾을값=창고검색),MATCH(ROW(창고검색),ROW(창고검색)),""),ROWS($A$1:F167)),COLUMNS($A$1:F167)),"")</x:f>
        <x:v/>
      </x:c>
      <x:c r="H168" s="7" t="str">
        <x:f t="array" ref="H168:H168">IFERROR(INDEX(창고검색범위,SMALL(IF((찾을값=창고검색),MATCH(ROW(창고검색),ROW(창고검색)),""),ROWS($A$1:G167)),COLUMNS($A$1:G167)),"")</x:f>
        <x:v/>
      </x:c>
      <x:c r="I168" s="119" t="str">
        <x:f t="array" ref="I168:I168">IFERROR(INDEX(창고검색범위,SMALL(IF((찾을값=창고검색),MATCH(ROW(창고검색),ROW(창고검색)),""),ROWS($A$1:H167)),COLUMNS($A$1:H167)),"")</x:f>
        <x:v/>
      </x:c>
      <x:c r="J168" s="120" t="str">
        <x:f t="array" ref="J168:J168">IFERROR(INDEX(창고검색범위,SMALL(IF((찾을값=창고검색),MATCH(ROW(창고검색),ROW(창고검색)),""),ROWS($A$1:I167)),COLUMNS($A$1:I167)),"")</x:f>
        <x:v/>
      </x:c>
    </x:row>
    <x:row r="169" spans="1:10">
      <x:c r="A169" s="173"/>
      <x:c r="B169" s="8" t="str">
        <x:f t="array" ref="B169:B169">IFERROR(INDEX(창고검색범위,SMALL(IF((찾을값=창고검색),MATCH(ROW(창고검색),ROW(창고검색)),""),ROWS($A$1:A168)),COLUMNS($A$1:A168)),"")</x:f>
        <x:v/>
      </x:c>
      <x:c r="C169" s="8" t="str">
        <x:f t="array" ref="C169:C169">IFERROR(INDEX(창고검색범위,SMALL(IF((찾을값=창고검색),MATCH(ROW(창고검색),ROW(창고검색)),""),ROWS($A$1:B168)),COLUMNS($A$1:B168)),"")</x:f>
        <x:v/>
      </x:c>
      <x:c r="D169" s="8" t="str">
        <x:f t="array" ref="D169:D169">IFERROR(INDEX(창고검색범위,SMALL(IF((찾을값=창고검색),MATCH(ROW(창고검색),ROW(창고검색)),""),ROWS($A$1:C168)),COLUMNS($A$1:C168)),"")</x:f>
        <x:v/>
      </x:c>
      <x:c r="E169" s="8" t="str">
        <x:f t="array" ref="E169:E169">IFERROR(INDEX(창고검색범위,SMALL(IF((찾을값=창고검색),MATCH(ROW(창고검색),ROW(창고검색)),""),ROWS($A$1:D168)),COLUMNS($A$1:D168)),"")</x:f>
        <x:v/>
      </x:c>
      <x:c r="F169" s="8" t="str">
        <x:f t="array" ref="F169:F169">IFERROR(INDEX(창고검색범위,SMALL(IF((찾을값=창고검색),MATCH(ROW(창고검색),ROW(창고검색)),""),ROWS($A$1:E168)),COLUMNS($A$1:E168)),"")</x:f>
        <x:v/>
      </x:c>
      <x:c r="G169" s="8" t="str">
        <x:f t="array" ref="G169:G169">IFERROR(INDEX(창고검색범위,SMALL(IF((찾을값=창고검색),MATCH(ROW(창고검색),ROW(창고검색)),""),ROWS($A$1:F168)),COLUMNS($A$1:F168)),"")</x:f>
        <x:v/>
      </x:c>
      <x:c r="H169" s="8" t="str">
        <x:f t="array" ref="H169:H169">IFERROR(INDEX(창고검색범위,SMALL(IF((찾을값=창고검색),MATCH(ROW(창고검색),ROW(창고검색)),""),ROWS($A$1:G168)),COLUMNS($A$1:G168)),"")</x:f>
        <x:v/>
      </x:c>
      <x:c r="I169" s="117" t="str">
        <x:f t="array" ref="I169:I169">IFERROR(INDEX(창고검색범위,SMALL(IF((찾을값=창고검색),MATCH(ROW(창고검색),ROW(창고검색)),""),ROWS($A$1:H168)),COLUMNS($A$1:H168)),"")</x:f>
        <x:v/>
      </x:c>
      <x:c r="J169" s="118" t="str">
        <x:f t="array" ref="J169:J169">IFERROR(INDEX(창고검색범위,SMALL(IF((찾을값=창고검색),MATCH(ROW(창고검색),ROW(창고검색)),""),ROWS($A$1:I168)),COLUMNS($A$1:I168)),"")</x:f>
        <x:v/>
      </x:c>
    </x:row>
    <x:row r="170" spans="1:10">
      <x:c r="A170" s="172"/>
      <x:c r="B170" s="7" t="str">
        <x:f t="array" ref="B170:B170">IFERROR(INDEX(창고검색범위,SMALL(IF((찾을값=창고검색),MATCH(ROW(창고검색),ROW(창고검색)),""),ROWS($A$1:A169)),COLUMNS($A$1:A169)),"")</x:f>
        <x:v/>
      </x:c>
      <x:c r="C170" s="7" t="str">
        <x:f t="array" ref="C170:C170">IFERROR(INDEX(창고검색범위,SMALL(IF((찾을값=창고검색),MATCH(ROW(창고검색),ROW(창고검색)),""),ROWS($A$1:B169)),COLUMNS($A$1:B169)),"")</x:f>
        <x:v/>
      </x:c>
      <x:c r="D170" s="7" t="str">
        <x:f t="array" ref="D170:D170">IFERROR(INDEX(창고검색범위,SMALL(IF((찾을값=창고검색),MATCH(ROW(창고검색),ROW(창고검색)),""),ROWS($A$1:C169)),COLUMNS($A$1:C169)),"")</x:f>
        <x:v/>
      </x:c>
      <x:c r="E170" s="7" t="str">
        <x:f t="array" ref="E170:E170">IFERROR(INDEX(창고검색범위,SMALL(IF((찾을값=창고검색),MATCH(ROW(창고검색),ROW(창고검색)),""),ROWS($A$1:D169)),COLUMNS($A$1:D169)),"")</x:f>
        <x:v/>
      </x:c>
      <x:c r="F170" s="7" t="str">
        <x:f t="array" ref="F170:F170">IFERROR(INDEX(창고검색범위,SMALL(IF((찾을값=창고검색),MATCH(ROW(창고검색),ROW(창고검색)),""),ROWS($A$1:E169)),COLUMNS($A$1:E169)),"")</x:f>
        <x:v/>
      </x:c>
      <x:c r="G170" s="7" t="str">
        <x:f t="array" ref="G170:G170">IFERROR(INDEX(창고검색범위,SMALL(IF((찾을값=창고검색),MATCH(ROW(창고검색),ROW(창고검색)),""),ROWS($A$1:F169)),COLUMNS($A$1:F169)),"")</x:f>
        <x:v/>
      </x:c>
      <x:c r="H170" s="7" t="str">
        <x:f t="array" ref="H170:H170">IFERROR(INDEX(창고검색범위,SMALL(IF((찾을값=창고검색),MATCH(ROW(창고검색),ROW(창고검색)),""),ROWS($A$1:G169)),COLUMNS($A$1:G169)),"")</x:f>
        <x:v/>
      </x:c>
      <x:c r="I170" s="119" t="str">
        <x:f t="array" ref="I170:I170">IFERROR(INDEX(창고검색범위,SMALL(IF((찾을값=창고검색),MATCH(ROW(창고검색),ROW(창고검색)),""),ROWS($A$1:H169)),COLUMNS($A$1:H169)),"")</x:f>
        <x:v/>
      </x:c>
      <x:c r="J170" s="120" t="str">
        <x:f t="array" ref="J170:J170">IFERROR(INDEX(창고검색범위,SMALL(IF((찾을값=창고검색),MATCH(ROW(창고검색),ROW(창고검색)),""),ROWS($A$1:I169)),COLUMNS($A$1:I169)),"")</x:f>
        <x:v/>
      </x:c>
    </x:row>
    <x:row r="171" spans="1:10">
      <x:c r="A171" s="173"/>
      <x:c r="B171" s="8" t="str">
        <x:f t="array" ref="B171:B171">IFERROR(INDEX(창고검색범위,SMALL(IF((찾을값=창고검색),MATCH(ROW(창고검색),ROW(창고검색)),""),ROWS($A$1:A170)),COLUMNS($A$1:A170)),"")</x:f>
        <x:v/>
      </x:c>
      <x:c r="C171" s="8" t="str">
        <x:f t="array" ref="C171:C171">IFERROR(INDEX(창고검색범위,SMALL(IF((찾을값=창고검색),MATCH(ROW(창고검색),ROW(창고검색)),""),ROWS($A$1:B170)),COLUMNS($A$1:B170)),"")</x:f>
        <x:v/>
      </x:c>
      <x:c r="D171" s="8" t="str">
        <x:f t="array" ref="D171:D171">IFERROR(INDEX(창고검색범위,SMALL(IF((찾을값=창고검색),MATCH(ROW(창고검색),ROW(창고검색)),""),ROWS($A$1:C170)),COLUMNS($A$1:C170)),"")</x:f>
        <x:v/>
      </x:c>
      <x:c r="E171" s="8" t="str">
        <x:f t="array" ref="E171:E171">IFERROR(INDEX(창고검색범위,SMALL(IF((찾을값=창고검색),MATCH(ROW(창고검색),ROW(창고검색)),""),ROWS($A$1:D170)),COLUMNS($A$1:D170)),"")</x:f>
        <x:v/>
      </x:c>
      <x:c r="F171" s="8" t="str">
        <x:f t="array" ref="F171:F171">IFERROR(INDEX(창고검색범위,SMALL(IF((찾을값=창고검색),MATCH(ROW(창고검색),ROW(창고검색)),""),ROWS($A$1:E170)),COLUMNS($A$1:E170)),"")</x:f>
        <x:v/>
      </x:c>
      <x:c r="G171" s="8" t="str">
        <x:f t="array" ref="G171:G171">IFERROR(INDEX(창고검색범위,SMALL(IF((찾을값=창고검색),MATCH(ROW(창고검색),ROW(창고검색)),""),ROWS($A$1:F170)),COLUMNS($A$1:F170)),"")</x:f>
        <x:v/>
      </x:c>
      <x:c r="H171" s="8" t="str">
        <x:f t="array" ref="H171:H171">IFERROR(INDEX(창고검색범위,SMALL(IF((찾을값=창고검색),MATCH(ROW(창고검색),ROW(창고검색)),""),ROWS($A$1:G170)),COLUMNS($A$1:G170)),"")</x:f>
        <x:v/>
      </x:c>
      <x:c r="I171" s="117" t="str">
        <x:f t="array" ref="I171:I171">IFERROR(INDEX(창고검색범위,SMALL(IF((찾을값=창고검색),MATCH(ROW(창고검색),ROW(창고검색)),""),ROWS($A$1:H170)),COLUMNS($A$1:H170)),"")</x:f>
        <x:v/>
      </x:c>
      <x:c r="J171" s="118" t="str">
        <x:f t="array" ref="J171:J171">IFERROR(INDEX(창고검색범위,SMALL(IF((찾을값=창고검색),MATCH(ROW(창고검색),ROW(창고검색)),""),ROWS($A$1:I170)),COLUMNS($A$1:I170)),"")</x:f>
        <x:v/>
      </x:c>
    </x:row>
    <x:row r="172" spans="1:10">
      <x:c r="A172" s="172"/>
      <x:c r="B172" s="7" t="str">
        <x:f t="array" ref="B172:B172">IFERROR(INDEX(창고검색범위,SMALL(IF((찾을값=창고검색),MATCH(ROW(창고검색),ROW(창고검색)),""),ROWS($A$1:A171)),COLUMNS($A$1:A171)),"")</x:f>
        <x:v/>
      </x:c>
      <x:c r="C172" s="7" t="str">
        <x:f t="array" ref="C172:C172">IFERROR(INDEX(창고검색범위,SMALL(IF((찾을값=창고검색),MATCH(ROW(창고검색),ROW(창고검색)),""),ROWS($A$1:B171)),COLUMNS($A$1:B171)),"")</x:f>
        <x:v/>
      </x:c>
      <x:c r="D172" s="7" t="str">
        <x:f t="array" ref="D172:D172">IFERROR(INDEX(창고검색범위,SMALL(IF((찾을값=창고검색),MATCH(ROW(창고검색),ROW(창고검색)),""),ROWS($A$1:C171)),COLUMNS($A$1:C171)),"")</x:f>
        <x:v/>
      </x:c>
      <x:c r="E172" s="7" t="str">
        <x:f t="array" ref="E172:E172">IFERROR(INDEX(창고검색범위,SMALL(IF((찾을값=창고검색),MATCH(ROW(창고검색),ROW(창고검색)),""),ROWS($A$1:D171)),COLUMNS($A$1:D171)),"")</x:f>
        <x:v/>
      </x:c>
      <x:c r="F172" s="7" t="str">
        <x:f t="array" ref="F172:F172">IFERROR(INDEX(창고검색범위,SMALL(IF((찾을값=창고검색),MATCH(ROW(창고검색),ROW(창고검색)),""),ROWS($A$1:E171)),COLUMNS($A$1:E171)),"")</x:f>
        <x:v/>
      </x:c>
      <x:c r="G172" s="7" t="str">
        <x:f t="array" ref="G172:G172">IFERROR(INDEX(창고검색범위,SMALL(IF((찾을값=창고검색),MATCH(ROW(창고검색),ROW(창고검색)),""),ROWS($A$1:F171)),COLUMNS($A$1:F171)),"")</x:f>
        <x:v/>
      </x:c>
      <x:c r="H172" s="7" t="str">
        <x:f t="array" ref="H172:H172">IFERROR(INDEX(창고검색범위,SMALL(IF((찾을값=창고검색),MATCH(ROW(창고검색),ROW(창고검색)),""),ROWS($A$1:G171)),COLUMNS($A$1:G171)),"")</x:f>
        <x:v/>
      </x:c>
      <x:c r="I172" s="119" t="str">
        <x:f t="array" ref="I172:I172">IFERROR(INDEX(창고검색범위,SMALL(IF((찾을값=창고검색),MATCH(ROW(창고검색),ROW(창고검색)),""),ROWS($A$1:H171)),COLUMNS($A$1:H171)),"")</x:f>
        <x:v/>
      </x:c>
      <x:c r="J172" s="120" t="str">
        <x:f t="array" ref="J172:J172">IFERROR(INDEX(창고검색범위,SMALL(IF((찾을값=창고검색),MATCH(ROW(창고검색),ROW(창고검색)),""),ROWS($A$1:I171)),COLUMNS($A$1:I171)),"")</x:f>
        <x:v/>
      </x:c>
    </x:row>
    <x:row r="173" spans="1:10">
      <x:c r="A173" s="173"/>
      <x:c r="B173" s="8" t="str">
        <x:f t="array" ref="B173:B173">IFERROR(INDEX(창고검색범위,SMALL(IF((찾을값=창고검색),MATCH(ROW(창고검색),ROW(창고검색)),""),ROWS($A$1:A172)),COLUMNS($A$1:A172)),"")</x:f>
        <x:v/>
      </x:c>
      <x:c r="C173" s="8" t="str">
        <x:f t="array" ref="C173:C173">IFERROR(INDEX(창고검색범위,SMALL(IF((찾을값=창고검색),MATCH(ROW(창고검색),ROW(창고검색)),""),ROWS($A$1:B172)),COLUMNS($A$1:B172)),"")</x:f>
        <x:v/>
      </x:c>
      <x:c r="D173" s="8" t="str">
        <x:f t="array" ref="D173:D173">IFERROR(INDEX(창고검색범위,SMALL(IF((찾을값=창고검색),MATCH(ROW(창고검색),ROW(창고검색)),""),ROWS($A$1:C172)),COLUMNS($A$1:C172)),"")</x:f>
        <x:v/>
      </x:c>
      <x:c r="E173" s="8" t="str">
        <x:f t="array" ref="E173:E173">IFERROR(INDEX(창고검색범위,SMALL(IF((찾을값=창고검색),MATCH(ROW(창고검색),ROW(창고검색)),""),ROWS($A$1:D172)),COLUMNS($A$1:D172)),"")</x:f>
        <x:v/>
      </x:c>
      <x:c r="F173" s="8" t="str">
        <x:f t="array" ref="F173:F173">IFERROR(INDEX(창고검색범위,SMALL(IF((찾을값=창고검색),MATCH(ROW(창고검색),ROW(창고검색)),""),ROWS($A$1:E172)),COLUMNS($A$1:E172)),"")</x:f>
        <x:v/>
      </x:c>
      <x:c r="G173" s="8" t="str">
        <x:f t="array" ref="G173:G173">IFERROR(INDEX(창고검색범위,SMALL(IF((찾을값=창고검색),MATCH(ROW(창고검색),ROW(창고검색)),""),ROWS($A$1:F172)),COLUMNS($A$1:F172)),"")</x:f>
        <x:v/>
      </x:c>
      <x:c r="H173" s="8" t="str">
        <x:f t="array" ref="H173:H173">IFERROR(INDEX(창고검색범위,SMALL(IF((찾을값=창고검색),MATCH(ROW(창고검색),ROW(창고검색)),""),ROWS($A$1:G172)),COLUMNS($A$1:G172)),"")</x:f>
        <x:v/>
      </x:c>
      <x:c r="I173" s="117" t="str">
        <x:f t="array" ref="I173:I173">IFERROR(INDEX(창고검색범위,SMALL(IF((찾을값=창고검색),MATCH(ROW(창고검색),ROW(창고검색)),""),ROWS($A$1:H172)),COLUMNS($A$1:H172)),"")</x:f>
        <x:v/>
      </x:c>
      <x:c r="J173" s="118" t="str">
        <x:f t="array" ref="J173:J173">IFERROR(INDEX(창고검색범위,SMALL(IF((찾을값=창고검색),MATCH(ROW(창고검색),ROW(창고검색)),""),ROWS($A$1:I172)),COLUMNS($A$1:I172)),"")</x:f>
        <x:v/>
      </x:c>
    </x:row>
    <x:row r="174" spans="1:10">
      <x:c r="A174" s="172"/>
      <x:c r="B174" s="7" t="str">
        <x:f t="array" ref="B174:B174">IFERROR(INDEX(창고검색범위,SMALL(IF((찾을값=창고검색),MATCH(ROW(창고검색),ROW(창고검색)),""),ROWS($A$1:A173)),COLUMNS($A$1:A173)),"")</x:f>
        <x:v/>
      </x:c>
      <x:c r="C174" s="7" t="str">
        <x:f t="array" ref="C174:C174">IFERROR(INDEX(창고검색범위,SMALL(IF((찾을값=창고검색),MATCH(ROW(창고검색),ROW(창고검색)),""),ROWS($A$1:B173)),COLUMNS($A$1:B173)),"")</x:f>
        <x:v/>
      </x:c>
      <x:c r="D174" s="7" t="str">
        <x:f t="array" ref="D174:D174">IFERROR(INDEX(창고검색범위,SMALL(IF((찾을값=창고검색),MATCH(ROW(창고검색),ROW(창고검색)),""),ROWS($A$1:C173)),COLUMNS($A$1:C173)),"")</x:f>
        <x:v/>
      </x:c>
      <x:c r="E174" s="7" t="str">
        <x:f t="array" ref="E174:E174">IFERROR(INDEX(창고검색범위,SMALL(IF((찾을값=창고검색),MATCH(ROW(창고검색),ROW(창고검색)),""),ROWS($A$1:D173)),COLUMNS($A$1:D173)),"")</x:f>
        <x:v/>
      </x:c>
      <x:c r="F174" s="7" t="str">
        <x:f t="array" ref="F174:F174">IFERROR(INDEX(창고검색범위,SMALL(IF((찾을값=창고검색),MATCH(ROW(창고검색),ROW(창고검색)),""),ROWS($A$1:E173)),COLUMNS($A$1:E173)),"")</x:f>
        <x:v/>
      </x:c>
      <x:c r="G174" s="7" t="str">
        <x:f t="array" ref="G174:G174">IFERROR(INDEX(창고검색범위,SMALL(IF((찾을값=창고검색),MATCH(ROW(창고검색),ROW(창고검색)),""),ROWS($A$1:F173)),COLUMNS($A$1:F173)),"")</x:f>
        <x:v/>
      </x:c>
      <x:c r="H174" s="7" t="str">
        <x:f t="array" ref="H174:H174">IFERROR(INDEX(창고검색범위,SMALL(IF((찾을값=창고검색),MATCH(ROW(창고검색),ROW(창고검색)),""),ROWS($A$1:G173)),COLUMNS($A$1:G173)),"")</x:f>
        <x:v/>
      </x:c>
      <x:c r="I174" s="119" t="str">
        <x:f t="array" ref="I174:I174">IFERROR(INDEX(창고검색범위,SMALL(IF((찾을값=창고검색),MATCH(ROW(창고검색),ROW(창고검색)),""),ROWS($A$1:H173)),COLUMNS($A$1:H173)),"")</x:f>
        <x:v/>
      </x:c>
      <x:c r="J174" s="120" t="str">
        <x:f t="array" ref="J174:J174">IFERROR(INDEX(창고검색범위,SMALL(IF((찾을값=창고검색),MATCH(ROW(창고검색),ROW(창고검색)),""),ROWS($A$1:I173)),COLUMNS($A$1:I173)),"")</x:f>
        <x:v/>
      </x:c>
    </x:row>
    <x:row r="175" spans="1:10">
      <x:c r="A175" s="173"/>
      <x:c r="B175" s="8" t="str">
        <x:f t="array" ref="B175:B175">IFERROR(INDEX(창고검색범위,SMALL(IF((찾을값=창고검색),MATCH(ROW(창고검색),ROW(창고검색)),""),ROWS($A$1:A174)),COLUMNS($A$1:A174)),"")</x:f>
        <x:v/>
      </x:c>
      <x:c r="C175" s="8" t="str">
        <x:f t="array" ref="C175:C175">IFERROR(INDEX(창고검색범위,SMALL(IF((찾을값=창고검색),MATCH(ROW(창고검색),ROW(창고검색)),""),ROWS($A$1:B174)),COLUMNS($A$1:B174)),"")</x:f>
        <x:v/>
      </x:c>
      <x:c r="D175" s="8" t="str">
        <x:f t="array" ref="D175:D175">IFERROR(INDEX(창고검색범위,SMALL(IF((찾을값=창고검색),MATCH(ROW(창고검색),ROW(창고검색)),""),ROWS($A$1:C174)),COLUMNS($A$1:C174)),"")</x:f>
        <x:v/>
      </x:c>
      <x:c r="E175" s="8" t="str">
        <x:f t="array" ref="E175:E175">IFERROR(INDEX(창고검색범위,SMALL(IF((찾을값=창고검색),MATCH(ROW(창고검색),ROW(창고검색)),""),ROWS($A$1:D174)),COLUMNS($A$1:D174)),"")</x:f>
        <x:v/>
      </x:c>
      <x:c r="F175" s="8" t="str">
        <x:f t="array" ref="F175:F175">IFERROR(INDEX(창고검색범위,SMALL(IF((찾을값=창고검색),MATCH(ROW(창고검색),ROW(창고검색)),""),ROWS($A$1:E174)),COLUMNS($A$1:E174)),"")</x:f>
        <x:v/>
      </x:c>
      <x:c r="G175" s="8" t="str">
        <x:f t="array" ref="G175:G175">IFERROR(INDEX(창고검색범위,SMALL(IF((찾을값=창고검색),MATCH(ROW(창고검색),ROW(창고검색)),""),ROWS($A$1:F174)),COLUMNS($A$1:F174)),"")</x:f>
        <x:v/>
      </x:c>
      <x:c r="H175" s="8" t="str">
        <x:f t="array" ref="H175:H175">IFERROR(INDEX(창고검색범위,SMALL(IF((찾을값=창고검색),MATCH(ROW(창고검색),ROW(창고검색)),""),ROWS($A$1:G174)),COLUMNS($A$1:G174)),"")</x:f>
        <x:v/>
      </x:c>
      <x:c r="I175" s="117" t="str">
        <x:f t="array" ref="I175:I175">IFERROR(INDEX(창고검색범위,SMALL(IF((찾을값=창고검색),MATCH(ROW(창고검색),ROW(창고검색)),""),ROWS($A$1:H174)),COLUMNS($A$1:H174)),"")</x:f>
        <x:v/>
      </x:c>
      <x:c r="J175" s="118" t="str">
        <x:f t="array" ref="J175:J175">IFERROR(INDEX(창고검색범위,SMALL(IF((찾을값=창고검색),MATCH(ROW(창고검색),ROW(창고검색)),""),ROWS($A$1:I174)),COLUMNS($A$1:I174)),"")</x:f>
        <x:v/>
      </x:c>
    </x:row>
    <x:row r="176" spans="1:10">
      <x:c r="A176" s="172"/>
      <x:c r="B176" s="7" t="str">
        <x:f t="array" ref="B176:B176">IFERROR(INDEX(창고검색범위,SMALL(IF((찾을값=창고검색),MATCH(ROW(창고검색),ROW(창고검색)),""),ROWS($A$1:A175)),COLUMNS($A$1:A175)),"")</x:f>
        <x:v/>
      </x:c>
      <x:c r="C176" s="7" t="str">
        <x:f t="array" ref="C176:C176">IFERROR(INDEX(창고검색범위,SMALL(IF((찾을값=창고검색),MATCH(ROW(창고검색),ROW(창고검색)),""),ROWS($A$1:B175)),COLUMNS($A$1:B175)),"")</x:f>
        <x:v/>
      </x:c>
      <x:c r="D176" s="7" t="str">
        <x:f t="array" ref="D176:D176">IFERROR(INDEX(창고검색범위,SMALL(IF((찾을값=창고검색),MATCH(ROW(창고검색),ROW(창고검색)),""),ROWS($A$1:C175)),COLUMNS($A$1:C175)),"")</x:f>
        <x:v/>
      </x:c>
      <x:c r="E176" s="7" t="str">
        <x:f t="array" ref="E176:E176">IFERROR(INDEX(창고검색범위,SMALL(IF((찾을값=창고검색),MATCH(ROW(창고검색),ROW(창고검색)),""),ROWS($A$1:D175)),COLUMNS($A$1:D175)),"")</x:f>
        <x:v/>
      </x:c>
      <x:c r="F176" s="7" t="str">
        <x:f t="array" ref="F176:F176">IFERROR(INDEX(창고검색범위,SMALL(IF((찾을값=창고검색),MATCH(ROW(창고검색),ROW(창고검색)),""),ROWS($A$1:E175)),COLUMNS($A$1:E175)),"")</x:f>
        <x:v/>
      </x:c>
      <x:c r="G176" s="7" t="str">
        <x:f t="array" ref="G176:G176">IFERROR(INDEX(창고검색범위,SMALL(IF((찾을값=창고검색),MATCH(ROW(창고검색),ROW(창고검색)),""),ROWS($A$1:F175)),COLUMNS($A$1:F175)),"")</x:f>
        <x:v/>
      </x:c>
      <x:c r="H176" s="7" t="str">
        <x:f t="array" ref="H176:H176">IFERROR(INDEX(창고검색범위,SMALL(IF((찾을값=창고검색),MATCH(ROW(창고검색),ROW(창고검색)),""),ROWS($A$1:G175)),COLUMNS($A$1:G175)),"")</x:f>
        <x:v/>
      </x:c>
      <x:c r="I176" s="119" t="str">
        <x:f t="array" ref="I176:I176">IFERROR(INDEX(창고검색범위,SMALL(IF((찾을값=창고검색),MATCH(ROW(창고검색),ROW(창고검색)),""),ROWS($A$1:H175)),COLUMNS($A$1:H175)),"")</x:f>
        <x:v/>
      </x:c>
      <x:c r="J176" s="120" t="str">
        <x:f t="array" ref="J176:J176">IFERROR(INDEX(창고검색범위,SMALL(IF((찾을값=창고검색),MATCH(ROW(창고검색),ROW(창고검색)),""),ROWS($A$1:I175)),COLUMNS($A$1:I175)),"")</x:f>
        <x:v/>
      </x:c>
    </x:row>
    <x:row r="177" spans="1:10">
      <x:c r="A177" s="173"/>
      <x:c r="B177" s="8" t="str">
        <x:f t="array" ref="B177:B177">IFERROR(INDEX(창고검색범위,SMALL(IF((찾을값=창고검색),MATCH(ROW(창고검색),ROW(창고검색)),""),ROWS($A$1:A176)),COLUMNS($A$1:A176)),"")</x:f>
        <x:v/>
      </x:c>
      <x:c r="C177" s="8" t="str">
        <x:f t="array" ref="C177:C177">IFERROR(INDEX(창고검색범위,SMALL(IF((찾을값=창고검색),MATCH(ROW(창고검색),ROW(창고검색)),""),ROWS($A$1:B176)),COLUMNS($A$1:B176)),"")</x:f>
        <x:v/>
      </x:c>
      <x:c r="D177" s="8" t="str">
        <x:f t="array" ref="D177:D177">IFERROR(INDEX(창고검색범위,SMALL(IF((찾을값=창고검색),MATCH(ROW(창고검색),ROW(창고검색)),""),ROWS($A$1:C176)),COLUMNS($A$1:C176)),"")</x:f>
        <x:v/>
      </x:c>
      <x:c r="E177" s="8" t="str">
        <x:f t="array" ref="E177:E177">IFERROR(INDEX(창고검색범위,SMALL(IF((찾을값=창고검색),MATCH(ROW(창고검색),ROW(창고검색)),""),ROWS($A$1:D176)),COLUMNS($A$1:D176)),"")</x:f>
        <x:v/>
      </x:c>
      <x:c r="F177" s="8" t="str">
        <x:f t="array" ref="F177:F177">IFERROR(INDEX(창고검색범위,SMALL(IF((찾을값=창고검색),MATCH(ROW(창고검색),ROW(창고검색)),""),ROWS($A$1:E176)),COLUMNS($A$1:E176)),"")</x:f>
        <x:v/>
      </x:c>
      <x:c r="G177" s="8" t="str">
        <x:f t="array" ref="G177:G177">IFERROR(INDEX(창고검색범위,SMALL(IF((찾을값=창고검색),MATCH(ROW(창고검색),ROW(창고검색)),""),ROWS($A$1:F176)),COLUMNS($A$1:F176)),"")</x:f>
        <x:v/>
      </x:c>
      <x:c r="H177" s="8" t="str">
        <x:f t="array" ref="H177:H177">IFERROR(INDEX(창고검색범위,SMALL(IF((찾을값=창고검색),MATCH(ROW(창고검색),ROW(창고검색)),""),ROWS($A$1:G176)),COLUMNS($A$1:G176)),"")</x:f>
        <x:v/>
      </x:c>
      <x:c r="I177" s="117" t="str">
        <x:f t="array" ref="I177:I177">IFERROR(INDEX(창고검색범위,SMALL(IF((찾을값=창고검색),MATCH(ROW(창고검색),ROW(창고검색)),""),ROWS($A$1:H176)),COLUMNS($A$1:H176)),"")</x:f>
        <x:v/>
      </x:c>
      <x:c r="J177" s="118" t="str">
        <x:f t="array" ref="J177:J177">IFERROR(INDEX(창고검색범위,SMALL(IF((찾을값=창고검색),MATCH(ROW(창고검색),ROW(창고검색)),""),ROWS($A$1:I176)),COLUMNS($A$1:I176)),"")</x:f>
        <x:v/>
      </x:c>
    </x:row>
    <x:row r="178" spans="1:10">
      <x:c r="A178" s="172"/>
      <x:c r="B178" s="7" t="str">
        <x:f t="array" ref="B178:B178">IFERROR(INDEX(창고검색범위,SMALL(IF((찾을값=창고검색),MATCH(ROW(창고검색),ROW(창고검색)),""),ROWS($A$1:A177)),COLUMNS($A$1:A177)),"")</x:f>
        <x:v/>
      </x:c>
      <x:c r="C178" s="7" t="str">
        <x:f t="array" ref="C178:C178">IFERROR(INDEX(창고검색범위,SMALL(IF((찾을값=창고검색),MATCH(ROW(창고검색),ROW(창고검색)),""),ROWS($A$1:B177)),COLUMNS($A$1:B177)),"")</x:f>
        <x:v/>
      </x:c>
      <x:c r="D178" s="7" t="str">
        <x:f t="array" ref="D178:D178">IFERROR(INDEX(창고검색범위,SMALL(IF((찾을값=창고검색),MATCH(ROW(창고검색),ROW(창고검색)),""),ROWS($A$1:C177)),COLUMNS($A$1:C177)),"")</x:f>
        <x:v/>
      </x:c>
      <x:c r="E178" s="7" t="str">
        <x:f t="array" ref="E178:E178">IFERROR(INDEX(창고검색범위,SMALL(IF((찾을값=창고검색),MATCH(ROW(창고검색),ROW(창고검색)),""),ROWS($A$1:D177)),COLUMNS($A$1:D177)),"")</x:f>
        <x:v/>
      </x:c>
      <x:c r="F178" s="7" t="str">
        <x:f t="array" ref="F178:F178">IFERROR(INDEX(창고검색범위,SMALL(IF((찾을값=창고검색),MATCH(ROW(창고검색),ROW(창고검색)),""),ROWS($A$1:E177)),COLUMNS($A$1:E177)),"")</x:f>
        <x:v/>
      </x:c>
      <x:c r="G178" s="7" t="str">
        <x:f t="array" ref="G178:G178">IFERROR(INDEX(창고검색범위,SMALL(IF((찾을값=창고검색),MATCH(ROW(창고검색),ROW(창고검색)),""),ROWS($A$1:F177)),COLUMNS($A$1:F177)),"")</x:f>
        <x:v/>
      </x:c>
      <x:c r="H178" s="7" t="str">
        <x:f t="array" ref="H178:H178">IFERROR(INDEX(창고검색범위,SMALL(IF((찾을값=창고검색),MATCH(ROW(창고검색),ROW(창고검색)),""),ROWS($A$1:G177)),COLUMNS($A$1:G177)),"")</x:f>
        <x:v/>
      </x:c>
      <x:c r="I178" s="119" t="str">
        <x:f t="array" ref="I178:I178">IFERROR(INDEX(창고검색범위,SMALL(IF((찾을값=창고검색),MATCH(ROW(창고검색),ROW(창고검색)),""),ROWS($A$1:H177)),COLUMNS($A$1:H177)),"")</x:f>
        <x:v/>
      </x:c>
      <x:c r="J178" s="120" t="str">
        <x:f t="array" ref="J178:J178">IFERROR(INDEX(창고검색범위,SMALL(IF((찾을값=창고검색),MATCH(ROW(창고검색),ROW(창고검색)),""),ROWS($A$1:I177)),COLUMNS($A$1:I177)),"")</x:f>
        <x:v/>
      </x:c>
    </x:row>
    <x:row r="179" spans="1:10">
      <x:c r="A179" s="173"/>
      <x:c r="B179" s="8" t="str">
        <x:f t="array" ref="B179:B179">IFERROR(INDEX(창고검색범위,SMALL(IF((찾을값=창고검색),MATCH(ROW(창고검색),ROW(창고검색)),""),ROWS($A$1:A178)),COLUMNS($A$1:A178)),"")</x:f>
        <x:v/>
      </x:c>
      <x:c r="C179" s="8" t="str">
        <x:f t="array" ref="C179:C179">IFERROR(INDEX(창고검색범위,SMALL(IF((찾을값=창고검색),MATCH(ROW(창고검색),ROW(창고검색)),""),ROWS($A$1:B178)),COLUMNS($A$1:B178)),"")</x:f>
        <x:v/>
      </x:c>
      <x:c r="D179" s="8" t="str">
        <x:f t="array" ref="D179:D179">IFERROR(INDEX(창고검색범위,SMALL(IF((찾을값=창고검색),MATCH(ROW(창고검색),ROW(창고검색)),""),ROWS($A$1:C178)),COLUMNS($A$1:C178)),"")</x:f>
        <x:v/>
      </x:c>
      <x:c r="E179" s="8" t="str">
        <x:f t="array" ref="E179:E179">IFERROR(INDEX(창고검색범위,SMALL(IF((찾을값=창고검색),MATCH(ROW(창고검색),ROW(창고검색)),""),ROWS($A$1:D178)),COLUMNS($A$1:D178)),"")</x:f>
        <x:v/>
      </x:c>
      <x:c r="F179" s="8" t="str">
        <x:f t="array" ref="F179:F179">IFERROR(INDEX(창고검색범위,SMALL(IF((찾을값=창고검색),MATCH(ROW(창고검색),ROW(창고검색)),""),ROWS($A$1:E178)),COLUMNS($A$1:E178)),"")</x:f>
        <x:v/>
      </x:c>
      <x:c r="G179" s="8" t="str">
        <x:f t="array" ref="G179:G179">IFERROR(INDEX(창고검색범위,SMALL(IF((찾을값=창고검색),MATCH(ROW(창고검색),ROW(창고검색)),""),ROWS($A$1:F178)),COLUMNS($A$1:F178)),"")</x:f>
        <x:v/>
      </x:c>
      <x:c r="H179" s="8" t="str">
        <x:f t="array" ref="H179:H179">IFERROR(INDEX(창고검색범위,SMALL(IF((찾을값=창고검색),MATCH(ROW(창고검색),ROW(창고검색)),""),ROWS($A$1:G178)),COLUMNS($A$1:G178)),"")</x:f>
        <x:v/>
      </x:c>
      <x:c r="I179" s="117" t="str">
        <x:f t="array" ref="I179:I179">IFERROR(INDEX(창고검색범위,SMALL(IF((찾을값=창고검색),MATCH(ROW(창고검색),ROW(창고검색)),""),ROWS($A$1:H178)),COLUMNS($A$1:H178)),"")</x:f>
        <x:v/>
      </x:c>
      <x:c r="J179" s="118" t="str">
        <x:f t="array" ref="J179:J179">IFERROR(INDEX(창고검색범위,SMALL(IF((찾을값=창고검색),MATCH(ROW(창고검색),ROW(창고검색)),""),ROWS($A$1:I178)),COLUMNS($A$1:I178)),"")</x:f>
        <x:v/>
      </x:c>
    </x:row>
    <x:row r="180" spans="1:10">
      <x:c r="A180" s="172"/>
      <x:c r="B180" s="7" t="str">
        <x:f t="array" ref="B180:B180">IFERROR(INDEX(창고검색범위,SMALL(IF((찾을값=창고검색),MATCH(ROW(창고검색),ROW(창고검색)),""),ROWS($A$1:A179)),COLUMNS($A$1:A179)),"")</x:f>
        <x:v/>
      </x:c>
      <x:c r="C180" s="7" t="str">
        <x:f t="array" ref="C180:C180">IFERROR(INDEX(창고검색범위,SMALL(IF((찾을값=창고검색),MATCH(ROW(창고검색),ROW(창고검색)),""),ROWS($A$1:B179)),COLUMNS($A$1:B179)),"")</x:f>
        <x:v/>
      </x:c>
      <x:c r="D180" s="7" t="str">
        <x:f t="array" ref="D180:D180">IFERROR(INDEX(창고검색범위,SMALL(IF((찾을값=창고검색),MATCH(ROW(창고검색),ROW(창고검색)),""),ROWS($A$1:C179)),COLUMNS($A$1:C179)),"")</x:f>
        <x:v/>
      </x:c>
      <x:c r="E180" s="7" t="str">
        <x:f t="array" ref="E180:E180">IFERROR(INDEX(창고검색범위,SMALL(IF((찾을값=창고검색),MATCH(ROW(창고검색),ROW(창고검색)),""),ROWS($A$1:D179)),COLUMNS($A$1:D179)),"")</x:f>
        <x:v/>
      </x:c>
      <x:c r="F180" s="7" t="str">
        <x:f t="array" ref="F180:F180">IFERROR(INDEX(창고검색범위,SMALL(IF((찾을값=창고검색),MATCH(ROW(창고검색),ROW(창고검색)),""),ROWS($A$1:E179)),COLUMNS($A$1:E179)),"")</x:f>
        <x:v/>
      </x:c>
      <x:c r="G180" s="7" t="str">
        <x:f t="array" ref="G180:G180">IFERROR(INDEX(창고검색범위,SMALL(IF((찾을값=창고검색),MATCH(ROW(창고검색),ROW(창고검색)),""),ROWS($A$1:F179)),COLUMNS($A$1:F179)),"")</x:f>
        <x:v/>
      </x:c>
      <x:c r="H180" s="7" t="str">
        <x:f t="array" ref="H180:H180">IFERROR(INDEX(창고검색범위,SMALL(IF((찾을값=창고검색),MATCH(ROW(창고검색),ROW(창고검색)),""),ROWS($A$1:G179)),COLUMNS($A$1:G179)),"")</x:f>
        <x:v/>
      </x:c>
      <x:c r="I180" s="119" t="str">
        <x:f t="array" ref="I180:I180">IFERROR(INDEX(창고검색범위,SMALL(IF((찾을값=창고검색),MATCH(ROW(창고검색),ROW(창고검색)),""),ROWS($A$1:H179)),COLUMNS($A$1:H179)),"")</x:f>
        <x:v/>
      </x:c>
      <x:c r="J180" s="120" t="str">
        <x:f t="array" ref="J180:J180">IFERROR(INDEX(창고검색범위,SMALL(IF((찾을값=창고검색),MATCH(ROW(창고검색),ROW(창고검색)),""),ROWS($A$1:I179)),COLUMNS($A$1:I179)),"")</x:f>
        <x:v/>
      </x:c>
    </x:row>
    <x:row r="181" spans="1:10">
      <x:c r="A181" s="173"/>
      <x:c r="B181" s="8" t="str">
        <x:f t="array" ref="B181:B181">IFERROR(INDEX(창고검색범위,SMALL(IF((찾을값=창고검색),MATCH(ROW(창고검색),ROW(창고검색)),""),ROWS($A$1:A180)),COLUMNS($A$1:A180)),"")</x:f>
        <x:v/>
      </x:c>
      <x:c r="C181" s="8" t="str">
        <x:f t="array" ref="C181:C181">IFERROR(INDEX(창고검색범위,SMALL(IF((찾을값=창고검색),MATCH(ROW(창고검색),ROW(창고검색)),""),ROWS($A$1:B180)),COLUMNS($A$1:B180)),"")</x:f>
        <x:v/>
      </x:c>
      <x:c r="D181" s="8" t="str">
        <x:f t="array" ref="D181:D181">IFERROR(INDEX(창고검색범위,SMALL(IF((찾을값=창고검색),MATCH(ROW(창고검색),ROW(창고검색)),""),ROWS($A$1:C180)),COLUMNS($A$1:C180)),"")</x:f>
        <x:v/>
      </x:c>
      <x:c r="E181" s="8" t="str">
        <x:f t="array" ref="E181:E181">IFERROR(INDEX(창고검색범위,SMALL(IF((찾을값=창고검색),MATCH(ROW(창고검색),ROW(창고검색)),""),ROWS($A$1:D180)),COLUMNS($A$1:D180)),"")</x:f>
        <x:v/>
      </x:c>
      <x:c r="F181" s="8" t="str">
        <x:f t="array" ref="F181:F181">IFERROR(INDEX(창고검색범위,SMALL(IF((찾을값=창고검색),MATCH(ROW(창고검색),ROW(창고검색)),""),ROWS($A$1:E180)),COLUMNS($A$1:E180)),"")</x:f>
        <x:v/>
      </x:c>
      <x:c r="G181" s="8" t="str">
        <x:f t="array" ref="G181:G181">IFERROR(INDEX(창고검색범위,SMALL(IF((찾을값=창고검색),MATCH(ROW(창고검색),ROW(창고검색)),""),ROWS($A$1:F180)),COLUMNS($A$1:F180)),"")</x:f>
        <x:v/>
      </x:c>
      <x:c r="H181" s="8" t="str">
        <x:f t="array" ref="H181:H181">IFERROR(INDEX(창고검색범위,SMALL(IF((찾을값=창고검색),MATCH(ROW(창고검색),ROW(창고검색)),""),ROWS($A$1:G180)),COLUMNS($A$1:G180)),"")</x:f>
        <x:v/>
      </x:c>
      <x:c r="I181" s="117" t="str">
        <x:f t="array" ref="I181:I181">IFERROR(INDEX(창고검색범위,SMALL(IF((찾을값=창고검색),MATCH(ROW(창고검색),ROW(창고검색)),""),ROWS($A$1:H180)),COLUMNS($A$1:H180)),"")</x:f>
        <x:v/>
      </x:c>
      <x:c r="J181" s="118" t="str">
        <x:f t="array" ref="J181:J181">IFERROR(INDEX(창고검색범위,SMALL(IF((찾을값=창고검색),MATCH(ROW(창고검색),ROW(창고검색)),""),ROWS($A$1:I180)),COLUMNS($A$1:I180)),"")</x:f>
        <x:v/>
      </x:c>
    </x:row>
    <x:row r="182" spans="1:10">
      <x:c r="A182" s="172"/>
      <x:c r="B182" s="7" t="str">
        <x:f t="array" ref="B182:B182">IFERROR(INDEX(창고검색범위,SMALL(IF((찾을값=창고검색),MATCH(ROW(창고검색),ROW(창고검색)),""),ROWS($A$1:A181)),COLUMNS($A$1:A181)),"")</x:f>
        <x:v/>
      </x:c>
      <x:c r="C182" s="7" t="str">
        <x:f t="array" ref="C182:C182">IFERROR(INDEX(창고검색범위,SMALL(IF((찾을값=창고검색),MATCH(ROW(창고검색),ROW(창고검색)),""),ROWS($A$1:B181)),COLUMNS($A$1:B181)),"")</x:f>
        <x:v/>
      </x:c>
      <x:c r="D182" s="7" t="str">
        <x:f t="array" ref="D182:D182">IFERROR(INDEX(창고검색범위,SMALL(IF((찾을값=창고검색),MATCH(ROW(창고검색),ROW(창고검색)),""),ROWS($A$1:C181)),COLUMNS($A$1:C181)),"")</x:f>
        <x:v/>
      </x:c>
      <x:c r="E182" s="7" t="str">
        <x:f t="array" ref="E182:E182">IFERROR(INDEX(창고검색범위,SMALL(IF((찾을값=창고검색),MATCH(ROW(창고검색),ROW(창고검색)),""),ROWS($A$1:D181)),COLUMNS($A$1:D181)),"")</x:f>
        <x:v/>
      </x:c>
      <x:c r="F182" s="7" t="str">
        <x:f t="array" ref="F182:F182">IFERROR(INDEX(창고검색범위,SMALL(IF((찾을값=창고검색),MATCH(ROW(창고검색),ROW(창고검색)),""),ROWS($A$1:E181)),COLUMNS($A$1:E181)),"")</x:f>
        <x:v/>
      </x:c>
      <x:c r="G182" s="7" t="str">
        <x:f t="array" ref="G182:G182">IFERROR(INDEX(창고검색범위,SMALL(IF((찾을값=창고검색),MATCH(ROW(창고검색),ROW(창고검색)),""),ROWS($A$1:F181)),COLUMNS($A$1:F181)),"")</x:f>
        <x:v/>
      </x:c>
      <x:c r="H182" s="7" t="str">
        <x:f t="array" ref="H182:H182">IFERROR(INDEX(창고검색범위,SMALL(IF((찾을값=창고검색),MATCH(ROW(창고검색),ROW(창고검색)),""),ROWS($A$1:G181)),COLUMNS($A$1:G181)),"")</x:f>
        <x:v/>
      </x:c>
      <x:c r="I182" s="119" t="str">
        <x:f t="array" ref="I182:I182">IFERROR(INDEX(창고검색범위,SMALL(IF((찾을값=창고검색),MATCH(ROW(창고검색),ROW(창고검색)),""),ROWS($A$1:H181)),COLUMNS($A$1:H181)),"")</x:f>
        <x:v/>
      </x:c>
      <x:c r="J182" s="120" t="str">
        <x:f t="array" ref="J182:J182">IFERROR(INDEX(창고검색범위,SMALL(IF((찾을값=창고검색),MATCH(ROW(창고검색),ROW(창고검색)),""),ROWS($A$1:I181)),COLUMNS($A$1:I181)),"")</x:f>
        <x:v/>
      </x:c>
    </x:row>
    <x:row r="183" spans="1:10">
      <x:c r="A183" s="173"/>
      <x:c r="B183" s="8" t="str">
        <x:f t="array" ref="B183:B183">IFERROR(INDEX(창고검색범위,SMALL(IF((찾을값=창고검색),MATCH(ROW(창고검색),ROW(창고검색)),""),ROWS($A$1:A182)),COLUMNS($A$1:A182)),"")</x:f>
        <x:v/>
      </x:c>
      <x:c r="C183" s="8" t="str">
        <x:f t="array" ref="C183:C183">IFERROR(INDEX(창고검색범위,SMALL(IF((찾을값=창고검색),MATCH(ROW(창고검색),ROW(창고검색)),""),ROWS($A$1:B182)),COLUMNS($A$1:B182)),"")</x:f>
        <x:v/>
      </x:c>
      <x:c r="D183" s="8" t="str">
        <x:f t="array" ref="D183:D183">IFERROR(INDEX(창고검색범위,SMALL(IF((찾을값=창고검색),MATCH(ROW(창고검색),ROW(창고검색)),""),ROWS($A$1:C182)),COLUMNS($A$1:C182)),"")</x:f>
        <x:v/>
      </x:c>
      <x:c r="E183" s="8" t="str">
        <x:f t="array" ref="E183:E183">IFERROR(INDEX(창고검색범위,SMALL(IF((찾을값=창고검색),MATCH(ROW(창고검색),ROW(창고검색)),""),ROWS($A$1:D182)),COLUMNS($A$1:D182)),"")</x:f>
        <x:v/>
      </x:c>
      <x:c r="F183" s="8" t="str">
        <x:f t="array" ref="F183:F183">IFERROR(INDEX(창고검색범위,SMALL(IF((찾을값=창고검색),MATCH(ROW(창고검색),ROW(창고검색)),""),ROWS($A$1:E182)),COLUMNS($A$1:E182)),"")</x:f>
        <x:v/>
      </x:c>
      <x:c r="G183" s="8" t="str">
        <x:f t="array" ref="G183:G183">IFERROR(INDEX(창고검색범위,SMALL(IF((찾을값=창고검색),MATCH(ROW(창고검색),ROW(창고검색)),""),ROWS($A$1:F182)),COLUMNS($A$1:F182)),"")</x:f>
        <x:v/>
      </x:c>
      <x:c r="H183" s="8" t="str">
        <x:f t="array" ref="H183:H183">IFERROR(INDEX(창고검색범위,SMALL(IF((찾을값=창고검색),MATCH(ROW(창고검색),ROW(창고검색)),""),ROWS($A$1:G182)),COLUMNS($A$1:G182)),"")</x:f>
        <x:v/>
      </x:c>
      <x:c r="I183" s="117" t="str">
        <x:f t="array" ref="I183:I183">IFERROR(INDEX(창고검색범위,SMALL(IF((찾을값=창고검색),MATCH(ROW(창고검색),ROW(창고검색)),""),ROWS($A$1:H182)),COLUMNS($A$1:H182)),"")</x:f>
        <x:v/>
      </x:c>
      <x:c r="J183" s="118" t="str">
        <x:f t="array" ref="J183:J183">IFERROR(INDEX(창고검색범위,SMALL(IF((찾을값=창고검색),MATCH(ROW(창고검색),ROW(창고검색)),""),ROWS($A$1:I182)),COLUMNS($A$1:I182)),"")</x:f>
        <x:v/>
      </x:c>
    </x:row>
    <x:row r="184" spans="1:10">
      <x:c r="A184" s="172"/>
      <x:c r="B184" s="7" t="str">
        <x:f t="array" ref="B184:B184">IFERROR(INDEX(창고검색범위,SMALL(IF((찾을값=창고검색),MATCH(ROW(창고검색),ROW(창고검색)),""),ROWS($A$1:A183)),COLUMNS($A$1:A183)),"")</x:f>
        <x:v/>
      </x:c>
      <x:c r="C184" s="7" t="str">
        <x:f t="array" ref="C184:C184">IFERROR(INDEX(창고검색범위,SMALL(IF((찾을값=창고검색),MATCH(ROW(창고검색),ROW(창고검색)),""),ROWS($A$1:B183)),COLUMNS($A$1:B183)),"")</x:f>
        <x:v/>
      </x:c>
      <x:c r="D184" s="7" t="str">
        <x:f t="array" ref="D184:D184">IFERROR(INDEX(창고검색범위,SMALL(IF((찾을값=창고검색),MATCH(ROW(창고검색),ROW(창고검색)),""),ROWS($A$1:C183)),COLUMNS($A$1:C183)),"")</x:f>
        <x:v/>
      </x:c>
      <x:c r="E184" s="7" t="str">
        <x:f t="array" ref="E184:E184">IFERROR(INDEX(창고검색범위,SMALL(IF((찾을값=창고검색),MATCH(ROW(창고검색),ROW(창고검색)),""),ROWS($A$1:D183)),COLUMNS($A$1:D183)),"")</x:f>
        <x:v/>
      </x:c>
      <x:c r="F184" s="7" t="str">
        <x:f t="array" ref="F184:F184">IFERROR(INDEX(창고검색범위,SMALL(IF((찾을값=창고검색),MATCH(ROW(창고검색),ROW(창고검색)),""),ROWS($A$1:E183)),COLUMNS($A$1:E183)),"")</x:f>
        <x:v/>
      </x:c>
      <x:c r="G184" s="7" t="str">
        <x:f t="array" ref="G184:G184">IFERROR(INDEX(창고검색범위,SMALL(IF((찾을값=창고검색),MATCH(ROW(창고검색),ROW(창고검색)),""),ROWS($A$1:F183)),COLUMNS($A$1:F183)),"")</x:f>
        <x:v/>
      </x:c>
      <x:c r="H184" s="7" t="str">
        <x:f t="array" ref="H184:H184">IFERROR(INDEX(창고검색범위,SMALL(IF((찾을값=창고검색),MATCH(ROW(창고검색),ROW(창고검색)),""),ROWS($A$1:G183)),COLUMNS($A$1:G183)),"")</x:f>
        <x:v/>
      </x:c>
      <x:c r="I184" s="119" t="str">
        <x:f t="array" ref="I184:I184">IFERROR(INDEX(창고검색범위,SMALL(IF((찾을값=창고검색),MATCH(ROW(창고검색),ROW(창고검색)),""),ROWS($A$1:H183)),COLUMNS($A$1:H183)),"")</x:f>
        <x:v/>
      </x:c>
      <x:c r="J184" s="120" t="str">
        <x:f t="array" ref="J184:J184">IFERROR(INDEX(창고검색범위,SMALL(IF((찾을값=창고검색),MATCH(ROW(창고검색),ROW(창고검색)),""),ROWS($A$1:I183)),COLUMNS($A$1:I183)),"")</x:f>
        <x:v/>
      </x:c>
    </x:row>
    <x:row r="185" spans="1:10">
      <x:c r="A185" s="173"/>
      <x:c r="B185" s="8" t="str">
        <x:f t="array" ref="B185:B185">IFERROR(INDEX(창고검색범위,SMALL(IF((찾을값=창고검색),MATCH(ROW(창고검색),ROW(창고검색)),""),ROWS($A$1:A184)),COLUMNS($A$1:A184)),"")</x:f>
        <x:v/>
      </x:c>
      <x:c r="C185" s="8" t="str">
        <x:f t="array" ref="C185:C185">IFERROR(INDEX(창고검색범위,SMALL(IF((찾을값=창고검색),MATCH(ROW(창고검색),ROW(창고검색)),""),ROWS($A$1:B184)),COLUMNS($A$1:B184)),"")</x:f>
        <x:v/>
      </x:c>
      <x:c r="D185" s="8" t="str">
        <x:f t="array" ref="D185:D185">IFERROR(INDEX(창고검색범위,SMALL(IF((찾을값=창고검색),MATCH(ROW(창고검색),ROW(창고검색)),""),ROWS($A$1:C184)),COLUMNS($A$1:C184)),"")</x:f>
        <x:v/>
      </x:c>
      <x:c r="E185" s="8" t="str">
        <x:f t="array" ref="E185:E185">IFERROR(INDEX(창고검색범위,SMALL(IF((찾을값=창고검색),MATCH(ROW(창고검색),ROW(창고검색)),""),ROWS($A$1:D184)),COLUMNS($A$1:D184)),"")</x:f>
        <x:v/>
      </x:c>
      <x:c r="F185" s="8" t="str">
        <x:f t="array" ref="F185:F185">IFERROR(INDEX(창고검색범위,SMALL(IF((찾을값=창고검색),MATCH(ROW(창고검색),ROW(창고검색)),""),ROWS($A$1:E184)),COLUMNS($A$1:E184)),"")</x:f>
        <x:v/>
      </x:c>
      <x:c r="G185" s="8" t="str">
        <x:f t="array" ref="G185:G185">IFERROR(INDEX(창고검색범위,SMALL(IF((찾을값=창고검색),MATCH(ROW(창고검색),ROW(창고검색)),""),ROWS($A$1:F184)),COLUMNS($A$1:F184)),"")</x:f>
        <x:v/>
      </x:c>
      <x:c r="H185" s="8" t="str">
        <x:f t="array" ref="H185:H185">IFERROR(INDEX(창고검색범위,SMALL(IF((찾을값=창고검색),MATCH(ROW(창고검색),ROW(창고검색)),""),ROWS($A$1:G184)),COLUMNS($A$1:G184)),"")</x:f>
        <x:v/>
      </x:c>
      <x:c r="I185" s="117" t="str">
        <x:f t="array" ref="I185:I185">IFERROR(INDEX(창고검색범위,SMALL(IF((찾을값=창고검색),MATCH(ROW(창고검색),ROW(창고검색)),""),ROWS($A$1:H184)),COLUMNS($A$1:H184)),"")</x:f>
        <x:v/>
      </x:c>
      <x:c r="J185" s="118" t="str">
        <x:f t="array" ref="J185:J185">IFERROR(INDEX(창고검색범위,SMALL(IF((찾을값=창고검색),MATCH(ROW(창고검색),ROW(창고검색)),""),ROWS($A$1:I184)),COLUMNS($A$1:I184)),"")</x:f>
        <x:v/>
      </x:c>
    </x:row>
    <x:row r="186" spans="1:10">
      <x:c r="A186" s="172"/>
      <x:c r="B186" s="7" t="str">
        <x:f t="array" ref="B186:B186">IFERROR(INDEX(창고검색범위,SMALL(IF((찾을값=창고검색),MATCH(ROW(창고검색),ROW(창고검색)),""),ROWS($A$1:A185)),COLUMNS($A$1:A185)),"")</x:f>
        <x:v/>
      </x:c>
      <x:c r="C186" s="7" t="str">
        <x:f t="array" ref="C186:C186">IFERROR(INDEX(창고검색범위,SMALL(IF((찾을값=창고검색),MATCH(ROW(창고검색),ROW(창고검색)),""),ROWS($A$1:B185)),COLUMNS($A$1:B185)),"")</x:f>
        <x:v/>
      </x:c>
      <x:c r="D186" s="7" t="str">
        <x:f t="array" ref="D186:D186">IFERROR(INDEX(창고검색범위,SMALL(IF((찾을값=창고검색),MATCH(ROW(창고검색),ROW(창고검색)),""),ROWS($A$1:C185)),COLUMNS($A$1:C185)),"")</x:f>
        <x:v/>
      </x:c>
      <x:c r="E186" s="7" t="str">
        <x:f t="array" ref="E186:E186">IFERROR(INDEX(창고검색범위,SMALL(IF((찾을값=창고검색),MATCH(ROW(창고검색),ROW(창고검색)),""),ROWS($A$1:D185)),COLUMNS($A$1:D185)),"")</x:f>
        <x:v/>
      </x:c>
      <x:c r="F186" s="7" t="str">
        <x:f t="array" ref="F186:F186">IFERROR(INDEX(창고검색범위,SMALL(IF((찾을값=창고검색),MATCH(ROW(창고검색),ROW(창고검색)),""),ROWS($A$1:E185)),COLUMNS($A$1:E185)),"")</x:f>
        <x:v/>
      </x:c>
      <x:c r="G186" s="7" t="str">
        <x:f t="array" ref="G186:G186">IFERROR(INDEX(창고검색범위,SMALL(IF((찾을값=창고검색),MATCH(ROW(창고검색),ROW(창고검색)),""),ROWS($A$1:F185)),COLUMNS($A$1:F185)),"")</x:f>
        <x:v/>
      </x:c>
      <x:c r="H186" s="7" t="str">
        <x:f t="array" ref="H186:H186">IFERROR(INDEX(창고검색범위,SMALL(IF((찾을값=창고검색),MATCH(ROW(창고검색),ROW(창고검색)),""),ROWS($A$1:G185)),COLUMNS($A$1:G185)),"")</x:f>
        <x:v/>
      </x:c>
      <x:c r="I186" s="119" t="str">
        <x:f t="array" ref="I186:I186">IFERROR(INDEX(창고검색범위,SMALL(IF((찾을값=창고검색),MATCH(ROW(창고검색),ROW(창고검색)),""),ROWS($A$1:H185)),COLUMNS($A$1:H185)),"")</x:f>
        <x:v/>
      </x:c>
      <x:c r="J186" s="120" t="str">
        <x:f t="array" ref="J186:J186">IFERROR(INDEX(창고검색범위,SMALL(IF((찾을값=창고검색),MATCH(ROW(창고검색),ROW(창고검색)),""),ROWS($A$1:I185)),COLUMNS($A$1:I185)),"")</x:f>
        <x:v/>
      </x:c>
    </x:row>
    <x:row r="187" spans="1:10">
      <x:c r="A187" s="173"/>
      <x:c r="B187" s="8" t="str">
        <x:f t="array" ref="B187:B187">IFERROR(INDEX(창고검색범위,SMALL(IF((찾을값=창고검색),MATCH(ROW(창고검색),ROW(창고검색)),""),ROWS($A$1:A186)),COLUMNS($A$1:A186)),"")</x:f>
        <x:v/>
      </x:c>
      <x:c r="C187" s="8" t="str">
        <x:f t="array" ref="C187:C187">IFERROR(INDEX(창고검색범위,SMALL(IF((찾을값=창고검색),MATCH(ROW(창고검색),ROW(창고검색)),""),ROWS($A$1:B186)),COLUMNS($A$1:B186)),"")</x:f>
        <x:v/>
      </x:c>
      <x:c r="D187" s="8" t="str">
        <x:f t="array" ref="D187:D187">IFERROR(INDEX(창고검색범위,SMALL(IF((찾을값=창고검색),MATCH(ROW(창고검색),ROW(창고검색)),""),ROWS($A$1:C186)),COLUMNS($A$1:C186)),"")</x:f>
        <x:v/>
      </x:c>
      <x:c r="E187" s="8" t="str">
        <x:f t="array" ref="E187:E187">IFERROR(INDEX(창고검색범위,SMALL(IF((찾을값=창고검색),MATCH(ROW(창고검색),ROW(창고검색)),""),ROWS($A$1:D186)),COLUMNS($A$1:D186)),"")</x:f>
        <x:v/>
      </x:c>
      <x:c r="F187" s="8" t="str">
        <x:f t="array" ref="F187:F187">IFERROR(INDEX(창고검색범위,SMALL(IF((찾을값=창고검색),MATCH(ROW(창고검색),ROW(창고검색)),""),ROWS($A$1:E186)),COLUMNS($A$1:E186)),"")</x:f>
        <x:v/>
      </x:c>
      <x:c r="G187" s="8" t="str">
        <x:f t="array" ref="G187:G187">IFERROR(INDEX(창고검색범위,SMALL(IF((찾을값=창고검색),MATCH(ROW(창고검색),ROW(창고검색)),""),ROWS($A$1:F186)),COLUMNS($A$1:F186)),"")</x:f>
        <x:v/>
      </x:c>
      <x:c r="H187" s="8" t="str">
        <x:f t="array" ref="H187:H187">IFERROR(INDEX(창고검색범위,SMALL(IF((찾을값=창고검색),MATCH(ROW(창고검색),ROW(창고검색)),""),ROWS($A$1:G186)),COLUMNS($A$1:G186)),"")</x:f>
        <x:v/>
      </x:c>
      <x:c r="I187" s="117" t="str">
        <x:f t="array" ref="I187:I187">IFERROR(INDEX(창고검색범위,SMALL(IF((찾을값=창고검색),MATCH(ROW(창고검색),ROW(창고검색)),""),ROWS($A$1:H186)),COLUMNS($A$1:H186)),"")</x:f>
        <x:v/>
      </x:c>
      <x:c r="J187" s="118" t="str">
        <x:f t="array" ref="J187:J187">IFERROR(INDEX(창고검색범위,SMALL(IF((찾을값=창고검색),MATCH(ROW(창고검색),ROW(창고검색)),""),ROWS($A$1:I186)),COLUMNS($A$1:I186)),"")</x:f>
        <x:v/>
      </x:c>
    </x:row>
    <x:row r="188" spans="1:10">
      <x:c r="A188" s="172"/>
      <x:c r="B188" s="7" t="str">
        <x:f t="array" ref="B188:B188">IFERROR(INDEX(창고검색범위,SMALL(IF((찾을값=창고검색),MATCH(ROW(창고검색),ROW(창고검색)),""),ROWS($A$1:A187)),COLUMNS($A$1:A187)),"")</x:f>
        <x:v/>
      </x:c>
      <x:c r="C188" s="7" t="str">
        <x:f t="array" ref="C188:C188">IFERROR(INDEX(창고검색범위,SMALL(IF((찾을값=창고검색),MATCH(ROW(창고검색),ROW(창고검색)),""),ROWS($A$1:B187)),COLUMNS($A$1:B187)),"")</x:f>
        <x:v/>
      </x:c>
      <x:c r="D188" s="7" t="str">
        <x:f t="array" ref="D188:D188">IFERROR(INDEX(창고검색범위,SMALL(IF((찾을값=창고검색),MATCH(ROW(창고검색),ROW(창고검색)),""),ROWS($A$1:C187)),COLUMNS($A$1:C187)),"")</x:f>
        <x:v/>
      </x:c>
      <x:c r="E188" s="7" t="str">
        <x:f t="array" ref="E188:E188">IFERROR(INDEX(창고검색범위,SMALL(IF((찾을값=창고검색),MATCH(ROW(창고검색),ROW(창고검색)),""),ROWS($A$1:D187)),COLUMNS($A$1:D187)),"")</x:f>
        <x:v/>
      </x:c>
      <x:c r="F188" s="7" t="str">
        <x:f t="array" ref="F188:F188">IFERROR(INDEX(창고검색범위,SMALL(IF((찾을값=창고검색),MATCH(ROW(창고검색),ROW(창고검색)),""),ROWS($A$1:E187)),COLUMNS($A$1:E187)),"")</x:f>
        <x:v/>
      </x:c>
      <x:c r="G188" s="7" t="str">
        <x:f t="array" ref="G188:G188">IFERROR(INDEX(창고검색범위,SMALL(IF((찾을값=창고검색),MATCH(ROW(창고검색),ROW(창고검색)),""),ROWS($A$1:F187)),COLUMNS($A$1:F187)),"")</x:f>
        <x:v/>
      </x:c>
      <x:c r="H188" s="7" t="str">
        <x:f t="array" ref="H188:H188">IFERROR(INDEX(창고검색범위,SMALL(IF((찾을값=창고검색),MATCH(ROW(창고검색),ROW(창고검색)),""),ROWS($A$1:G187)),COLUMNS($A$1:G187)),"")</x:f>
        <x:v/>
      </x:c>
      <x:c r="I188" s="119" t="str">
        <x:f t="array" ref="I188:I188">IFERROR(INDEX(창고검색범위,SMALL(IF((찾을값=창고검색),MATCH(ROW(창고검색),ROW(창고검색)),""),ROWS($A$1:H187)),COLUMNS($A$1:H187)),"")</x:f>
        <x:v/>
      </x:c>
      <x:c r="J188" s="120" t="str">
        <x:f t="array" ref="J188:J188">IFERROR(INDEX(창고검색범위,SMALL(IF((찾을값=창고검색),MATCH(ROW(창고검색),ROW(창고검색)),""),ROWS($A$1:I187)),COLUMNS($A$1:I187)),"")</x:f>
        <x:v/>
      </x:c>
    </x:row>
    <x:row r="189" spans="1:10">
      <x:c r="A189" s="173"/>
      <x:c r="B189" s="8" t="str">
        <x:f t="array" ref="B189:B189">IFERROR(INDEX(창고검색범위,SMALL(IF((찾을값=창고검색),MATCH(ROW(창고검색),ROW(창고검색)),""),ROWS($A$1:A188)),COLUMNS($A$1:A188)),"")</x:f>
        <x:v/>
      </x:c>
      <x:c r="C189" s="8" t="str">
        <x:f t="array" ref="C189:C189">IFERROR(INDEX(창고검색범위,SMALL(IF((찾을값=창고검색),MATCH(ROW(창고검색),ROW(창고검색)),""),ROWS($A$1:B188)),COLUMNS($A$1:B188)),"")</x:f>
        <x:v/>
      </x:c>
      <x:c r="D189" s="8" t="str">
        <x:f t="array" ref="D189:D189">IFERROR(INDEX(창고검색범위,SMALL(IF((찾을값=창고검색),MATCH(ROW(창고검색),ROW(창고검색)),""),ROWS($A$1:C188)),COLUMNS($A$1:C188)),"")</x:f>
        <x:v/>
      </x:c>
      <x:c r="E189" s="8" t="str">
        <x:f t="array" ref="E189:E189">IFERROR(INDEX(창고검색범위,SMALL(IF((찾을값=창고검색),MATCH(ROW(창고검색),ROW(창고검색)),""),ROWS($A$1:D188)),COLUMNS($A$1:D188)),"")</x:f>
        <x:v/>
      </x:c>
      <x:c r="F189" s="8" t="str">
        <x:f t="array" ref="F189:F189">IFERROR(INDEX(창고검색범위,SMALL(IF((찾을값=창고검색),MATCH(ROW(창고검색),ROW(창고검색)),""),ROWS($A$1:E188)),COLUMNS($A$1:E188)),"")</x:f>
        <x:v/>
      </x:c>
      <x:c r="G189" s="8" t="str">
        <x:f t="array" ref="G189:G189">IFERROR(INDEX(창고검색범위,SMALL(IF((찾을값=창고검색),MATCH(ROW(창고검색),ROW(창고검색)),""),ROWS($A$1:F188)),COLUMNS($A$1:F188)),"")</x:f>
        <x:v/>
      </x:c>
      <x:c r="H189" s="8" t="str">
        <x:f t="array" ref="H189:H189">IFERROR(INDEX(창고검색범위,SMALL(IF((찾을값=창고검색),MATCH(ROW(창고검색),ROW(창고검색)),""),ROWS($A$1:G188)),COLUMNS($A$1:G188)),"")</x:f>
        <x:v/>
      </x:c>
      <x:c r="I189" s="117" t="str">
        <x:f t="array" ref="I189:I189">IFERROR(INDEX(창고검색범위,SMALL(IF((찾을값=창고검색),MATCH(ROW(창고검색),ROW(창고검색)),""),ROWS($A$1:H188)),COLUMNS($A$1:H188)),"")</x:f>
        <x:v/>
      </x:c>
      <x:c r="J189" s="118" t="str">
        <x:f t="array" ref="J189:J189">IFERROR(INDEX(창고검색범위,SMALL(IF((찾을값=창고검색),MATCH(ROW(창고검색),ROW(창고검색)),""),ROWS($A$1:I188)),COLUMNS($A$1:I188)),"")</x:f>
        <x:v/>
      </x:c>
    </x:row>
    <x:row r="190" spans="1:10">
      <x:c r="A190" s="172"/>
      <x:c r="B190" s="7" t="str">
        <x:f t="array" ref="B190:B190">IFERROR(INDEX(창고검색범위,SMALL(IF((찾을값=창고검색),MATCH(ROW(창고검색),ROW(창고검색)),""),ROWS($A$1:A189)),COLUMNS($A$1:A189)),"")</x:f>
        <x:v/>
      </x:c>
      <x:c r="C190" s="7" t="str">
        <x:f t="array" ref="C190:C190">IFERROR(INDEX(창고검색범위,SMALL(IF((찾을값=창고검색),MATCH(ROW(창고검색),ROW(창고검색)),""),ROWS($A$1:B189)),COLUMNS($A$1:B189)),"")</x:f>
        <x:v/>
      </x:c>
      <x:c r="D190" s="7" t="str">
        <x:f t="array" ref="D190:D190">IFERROR(INDEX(창고검색범위,SMALL(IF((찾을값=창고검색),MATCH(ROW(창고검색),ROW(창고검색)),""),ROWS($A$1:C189)),COLUMNS($A$1:C189)),"")</x:f>
        <x:v/>
      </x:c>
      <x:c r="E190" s="7" t="str">
        <x:f t="array" ref="E190:E190">IFERROR(INDEX(창고검색범위,SMALL(IF((찾을값=창고검색),MATCH(ROW(창고검색),ROW(창고검색)),""),ROWS($A$1:D189)),COLUMNS($A$1:D189)),"")</x:f>
        <x:v/>
      </x:c>
      <x:c r="F190" s="7" t="str">
        <x:f t="array" ref="F190:F190">IFERROR(INDEX(창고검색범위,SMALL(IF((찾을값=창고검색),MATCH(ROW(창고검색),ROW(창고검색)),""),ROWS($A$1:E189)),COLUMNS($A$1:E189)),"")</x:f>
        <x:v/>
      </x:c>
      <x:c r="G190" s="7" t="str">
        <x:f t="array" ref="G190:G190">IFERROR(INDEX(창고검색범위,SMALL(IF((찾을값=창고검색),MATCH(ROW(창고검색),ROW(창고검색)),""),ROWS($A$1:F189)),COLUMNS($A$1:F189)),"")</x:f>
        <x:v/>
      </x:c>
      <x:c r="H190" s="7" t="str">
        <x:f t="array" ref="H190:H190">IFERROR(INDEX(창고검색범위,SMALL(IF((찾을값=창고검색),MATCH(ROW(창고검색),ROW(창고검색)),""),ROWS($A$1:G189)),COLUMNS($A$1:G189)),"")</x:f>
        <x:v/>
      </x:c>
      <x:c r="I190" s="119" t="str">
        <x:f t="array" ref="I190:I190">IFERROR(INDEX(창고검색범위,SMALL(IF((찾을값=창고검색),MATCH(ROW(창고검색),ROW(창고검색)),""),ROWS($A$1:H189)),COLUMNS($A$1:H189)),"")</x:f>
        <x:v/>
      </x:c>
      <x:c r="J190" s="120" t="str">
        <x:f t="array" ref="J190:J190">IFERROR(INDEX(창고검색범위,SMALL(IF((찾을값=창고검색),MATCH(ROW(창고검색),ROW(창고검색)),""),ROWS($A$1:I189)),COLUMNS($A$1:I189)),"")</x:f>
        <x:v/>
      </x:c>
    </x:row>
    <x:row r="191" spans="1:10">
      <x:c r="A191" s="173"/>
      <x:c r="B191" s="8" t="str">
        <x:f t="array" ref="B191:B191">IFERROR(INDEX(창고검색범위,SMALL(IF((찾을값=창고검색),MATCH(ROW(창고검색),ROW(창고검색)),""),ROWS($A$1:A190)),COLUMNS($A$1:A190)),"")</x:f>
        <x:v/>
      </x:c>
      <x:c r="C191" s="8" t="str">
        <x:f t="array" ref="C191:C191">IFERROR(INDEX(창고검색범위,SMALL(IF((찾을값=창고검색),MATCH(ROW(창고검색),ROW(창고검색)),""),ROWS($A$1:B190)),COLUMNS($A$1:B190)),"")</x:f>
        <x:v/>
      </x:c>
      <x:c r="D191" s="8" t="str">
        <x:f t="array" ref="D191:D191">IFERROR(INDEX(창고검색범위,SMALL(IF((찾을값=창고검색),MATCH(ROW(창고검색),ROW(창고검색)),""),ROWS($A$1:C190)),COLUMNS($A$1:C190)),"")</x:f>
        <x:v/>
      </x:c>
      <x:c r="E191" s="8" t="str">
        <x:f t="array" ref="E191:E191">IFERROR(INDEX(창고검색범위,SMALL(IF((찾을값=창고검색),MATCH(ROW(창고검색),ROW(창고검색)),""),ROWS($A$1:D190)),COLUMNS($A$1:D190)),"")</x:f>
        <x:v/>
      </x:c>
      <x:c r="F191" s="8" t="str">
        <x:f t="array" ref="F191:F191">IFERROR(INDEX(창고검색범위,SMALL(IF((찾을값=창고검색),MATCH(ROW(창고검색),ROW(창고검색)),""),ROWS($A$1:E190)),COLUMNS($A$1:E190)),"")</x:f>
        <x:v/>
      </x:c>
      <x:c r="G191" s="8" t="str">
        <x:f t="array" ref="G191:G191">IFERROR(INDEX(창고검색범위,SMALL(IF((찾을값=창고검색),MATCH(ROW(창고검색),ROW(창고검색)),""),ROWS($A$1:F190)),COLUMNS($A$1:F190)),"")</x:f>
        <x:v/>
      </x:c>
      <x:c r="H191" s="8" t="str">
        <x:f t="array" ref="H191:H191">IFERROR(INDEX(창고검색범위,SMALL(IF((찾을값=창고검색),MATCH(ROW(창고검색),ROW(창고검색)),""),ROWS($A$1:G190)),COLUMNS($A$1:G190)),"")</x:f>
        <x:v/>
      </x:c>
      <x:c r="I191" s="117" t="str">
        <x:f t="array" ref="I191:I191">IFERROR(INDEX(창고검색범위,SMALL(IF((찾을값=창고검색),MATCH(ROW(창고검색),ROW(창고검색)),""),ROWS($A$1:H190)),COLUMNS($A$1:H190)),"")</x:f>
        <x:v/>
      </x:c>
      <x:c r="J191" s="118" t="str">
        <x:f t="array" ref="J191:J191">IFERROR(INDEX(창고검색범위,SMALL(IF((찾을값=창고검색),MATCH(ROW(창고검색),ROW(창고검색)),""),ROWS($A$1:I190)),COLUMNS($A$1:I190)),"")</x:f>
        <x:v/>
      </x:c>
    </x:row>
    <x:row r="192" spans="1:10">
      <x:c r="A192" s="172"/>
      <x:c r="B192" s="7" t="str">
        <x:f t="array" ref="B192:B192">IFERROR(INDEX(창고검색범위,SMALL(IF((찾을값=창고검색),MATCH(ROW(창고검색),ROW(창고검색)),""),ROWS($A$1:A191)),COLUMNS($A$1:A191)),"")</x:f>
        <x:v/>
      </x:c>
      <x:c r="C192" s="7" t="str">
        <x:f t="array" ref="C192:C192">IFERROR(INDEX(창고검색범위,SMALL(IF((찾을값=창고검색),MATCH(ROW(창고검색),ROW(창고검색)),""),ROWS($A$1:B191)),COLUMNS($A$1:B191)),"")</x:f>
        <x:v/>
      </x:c>
      <x:c r="D192" s="7" t="str">
        <x:f t="array" ref="D192:D192">IFERROR(INDEX(창고검색범위,SMALL(IF((찾을값=창고검색),MATCH(ROW(창고검색),ROW(창고검색)),""),ROWS($A$1:C191)),COLUMNS($A$1:C191)),"")</x:f>
        <x:v/>
      </x:c>
      <x:c r="E192" s="7" t="str">
        <x:f t="array" ref="E192:E192">IFERROR(INDEX(창고검색범위,SMALL(IF((찾을값=창고검색),MATCH(ROW(창고검색),ROW(창고검색)),""),ROWS($A$1:D191)),COLUMNS($A$1:D191)),"")</x:f>
        <x:v/>
      </x:c>
      <x:c r="F192" s="7" t="str">
        <x:f t="array" ref="F192:F192">IFERROR(INDEX(창고검색범위,SMALL(IF((찾을값=창고검색),MATCH(ROW(창고검색),ROW(창고검색)),""),ROWS($A$1:E191)),COLUMNS($A$1:E191)),"")</x:f>
        <x:v/>
      </x:c>
      <x:c r="G192" s="7" t="str">
        <x:f t="array" ref="G192:G192">IFERROR(INDEX(창고검색범위,SMALL(IF((찾을값=창고검색),MATCH(ROW(창고검색),ROW(창고검색)),""),ROWS($A$1:F191)),COLUMNS($A$1:F191)),"")</x:f>
        <x:v/>
      </x:c>
      <x:c r="H192" s="7" t="str">
        <x:f t="array" ref="H192:H192">IFERROR(INDEX(창고검색범위,SMALL(IF((찾을값=창고검색),MATCH(ROW(창고검색),ROW(창고검색)),""),ROWS($A$1:G191)),COLUMNS($A$1:G191)),"")</x:f>
        <x:v/>
      </x:c>
      <x:c r="I192" s="119" t="str">
        <x:f t="array" ref="I192:I192">IFERROR(INDEX(창고검색범위,SMALL(IF((찾을값=창고검색),MATCH(ROW(창고검색),ROW(창고검색)),""),ROWS($A$1:H191)),COLUMNS($A$1:H191)),"")</x:f>
        <x:v/>
      </x:c>
      <x:c r="J192" s="120" t="str">
        <x:f t="array" ref="J192:J192">IFERROR(INDEX(창고검색범위,SMALL(IF((찾을값=창고검색),MATCH(ROW(창고검색),ROW(창고검색)),""),ROWS($A$1:I191)),COLUMNS($A$1:I191)),"")</x:f>
        <x:v/>
      </x:c>
    </x:row>
    <x:row r="193" spans="1:10">
      <x:c r="A193" s="173"/>
      <x:c r="B193" s="8" t="str">
        <x:f t="array" ref="B193:B193">IFERROR(INDEX(창고검색범위,SMALL(IF((찾을값=창고검색),MATCH(ROW(창고검색),ROW(창고검색)),""),ROWS($A$1:A192)),COLUMNS($A$1:A192)),"")</x:f>
        <x:v/>
      </x:c>
      <x:c r="C193" s="8" t="str">
        <x:f t="array" ref="C193:C193">IFERROR(INDEX(창고검색범위,SMALL(IF((찾을값=창고검색),MATCH(ROW(창고검색),ROW(창고검색)),""),ROWS($A$1:B192)),COLUMNS($A$1:B192)),"")</x:f>
        <x:v/>
      </x:c>
      <x:c r="D193" s="8" t="str">
        <x:f t="array" ref="D193:D193">IFERROR(INDEX(창고검색범위,SMALL(IF((찾을값=창고검색),MATCH(ROW(창고검색),ROW(창고검색)),""),ROWS($A$1:C192)),COLUMNS($A$1:C192)),"")</x:f>
        <x:v/>
      </x:c>
      <x:c r="E193" s="8" t="str">
        <x:f t="array" ref="E193:E193">IFERROR(INDEX(창고검색범위,SMALL(IF((찾을값=창고검색),MATCH(ROW(창고검색),ROW(창고검색)),""),ROWS($A$1:D192)),COLUMNS($A$1:D192)),"")</x:f>
        <x:v/>
      </x:c>
      <x:c r="F193" s="8" t="str">
        <x:f t="array" ref="F193:F193">IFERROR(INDEX(창고검색범위,SMALL(IF((찾을값=창고검색),MATCH(ROW(창고검색),ROW(창고검색)),""),ROWS($A$1:E192)),COLUMNS($A$1:E192)),"")</x:f>
        <x:v/>
      </x:c>
      <x:c r="G193" s="8" t="str">
        <x:f t="array" ref="G193:G193">IFERROR(INDEX(창고검색범위,SMALL(IF((찾을값=창고검색),MATCH(ROW(창고검색),ROW(창고검색)),""),ROWS($A$1:F192)),COLUMNS($A$1:F192)),"")</x:f>
        <x:v/>
      </x:c>
      <x:c r="H193" s="8" t="str">
        <x:f t="array" ref="H193:H193">IFERROR(INDEX(창고검색범위,SMALL(IF((찾을값=창고검색),MATCH(ROW(창고검색),ROW(창고검색)),""),ROWS($A$1:G192)),COLUMNS($A$1:G192)),"")</x:f>
        <x:v/>
      </x:c>
      <x:c r="I193" s="117" t="str">
        <x:f t="array" ref="I193:I193">IFERROR(INDEX(창고검색범위,SMALL(IF((찾을값=창고검색),MATCH(ROW(창고검색),ROW(창고검색)),""),ROWS($A$1:H192)),COLUMNS($A$1:H192)),"")</x:f>
        <x:v/>
      </x:c>
      <x:c r="J193" s="118" t="str">
        <x:f t="array" ref="J193:J193">IFERROR(INDEX(창고검색범위,SMALL(IF((찾을값=창고검색),MATCH(ROW(창고검색),ROW(창고검색)),""),ROWS($A$1:I192)),COLUMNS($A$1:I192)),"")</x:f>
        <x:v/>
      </x:c>
    </x:row>
    <x:row r="194" spans="1:10">
      <x:c r="A194" s="172"/>
      <x:c r="B194" s="7" t="str">
        <x:f t="array" ref="B194:B194">IFERROR(INDEX(창고검색범위,SMALL(IF((찾을값=창고검색),MATCH(ROW(창고검색),ROW(창고검색)),""),ROWS($A$1:A193)),COLUMNS($A$1:A193)),"")</x:f>
        <x:v/>
      </x:c>
      <x:c r="C194" s="7" t="str">
        <x:f t="array" ref="C194:C194">IFERROR(INDEX(창고검색범위,SMALL(IF((찾을값=창고검색),MATCH(ROW(창고검색),ROW(창고검색)),""),ROWS($A$1:B193)),COLUMNS($A$1:B193)),"")</x:f>
        <x:v/>
      </x:c>
      <x:c r="D194" s="7" t="str">
        <x:f t="array" ref="D194:D194">IFERROR(INDEX(창고검색범위,SMALL(IF((찾을값=창고검색),MATCH(ROW(창고검색),ROW(창고검색)),""),ROWS($A$1:C193)),COLUMNS($A$1:C193)),"")</x:f>
        <x:v/>
      </x:c>
      <x:c r="E194" s="7" t="str">
        <x:f t="array" ref="E194:E194">IFERROR(INDEX(창고검색범위,SMALL(IF((찾을값=창고검색),MATCH(ROW(창고검색),ROW(창고검색)),""),ROWS($A$1:D193)),COLUMNS($A$1:D193)),"")</x:f>
        <x:v/>
      </x:c>
      <x:c r="F194" s="7" t="str">
        <x:f t="array" ref="F194:F194">IFERROR(INDEX(창고검색범위,SMALL(IF((찾을값=창고검색),MATCH(ROW(창고검색),ROW(창고검색)),""),ROWS($A$1:E193)),COLUMNS($A$1:E193)),"")</x:f>
        <x:v/>
      </x:c>
      <x:c r="G194" s="7" t="str">
        <x:f t="array" ref="G194:G194">IFERROR(INDEX(창고검색범위,SMALL(IF((찾을값=창고검색),MATCH(ROW(창고검색),ROW(창고검색)),""),ROWS($A$1:F193)),COLUMNS($A$1:F193)),"")</x:f>
        <x:v/>
      </x:c>
      <x:c r="H194" s="7" t="str">
        <x:f t="array" ref="H194:H194">IFERROR(INDEX(창고검색범위,SMALL(IF((찾을값=창고검색),MATCH(ROW(창고검색),ROW(창고검색)),""),ROWS($A$1:G193)),COLUMNS($A$1:G193)),"")</x:f>
        <x:v/>
      </x:c>
      <x:c r="I194" s="119" t="str">
        <x:f t="array" ref="I194:I194">IFERROR(INDEX(창고검색범위,SMALL(IF((찾을값=창고검색),MATCH(ROW(창고검색),ROW(창고검색)),""),ROWS($A$1:H193)),COLUMNS($A$1:H193)),"")</x:f>
        <x:v/>
      </x:c>
      <x:c r="J194" s="120" t="str">
        <x:f t="array" ref="J194:J194">IFERROR(INDEX(창고검색범위,SMALL(IF((찾을값=창고검색),MATCH(ROW(창고검색),ROW(창고검색)),""),ROWS($A$1:I193)),COLUMNS($A$1:I193)),"")</x:f>
        <x:v/>
      </x:c>
    </x:row>
    <x:row r="195" spans="1:10">
      <x:c r="A195" s="173"/>
      <x:c r="B195" s="8" t="str">
        <x:f t="array" ref="B195:B195">IFERROR(INDEX(창고검색범위,SMALL(IF((찾을값=창고검색),MATCH(ROW(창고검색),ROW(창고검색)),""),ROWS($A$1:A194)),COLUMNS($A$1:A194)),"")</x:f>
        <x:v/>
      </x:c>
      <x:c r="C195" s="8" t="str">
        <x:f t="array" ref="C195:C195">IFERROR(INDEX(창고검색범위,SMALL(IF((찾을값=창고검색),MATCH(ROW(창고검색),ROW(창고검색)),""),ROWS($A$1:B194)),COLUMNS($A$1:B194)),"")</x:f>
        <x:v/>
      </x:c>
      <x:c r="D195" s="8" t="str">
        <x:f t="array" ref="D195:D195">IFERROR(INDEX(창고검색범위,SMALL(IF((찾을값=창고검색),MATCH(ROW(창고검색),ROW(창고검색)),""),ROWS($A$1:C194)),COLUMNS($A$1:C194)),"")</x:f>
        <x:v/>
      </x:c>
      <x:c r="E195" s="8" t="str">
        <x:f t="array" ref="E195:E195">IFERROR(INDEX(창고검색범위,SMALL(IF((찾을값=창고검색),MATCH(ROW(창고검색),ROW(창고검색)),""),ROWS($A$1:D194)),COLUMNS($A$1:D194)),"")</x:f>
        <x:v/>
      </x:c>
      <x:c r="F195" s="8" t="str">
        <x:f t="array" ref="F195:F195">IFERROR(INDEX(창고검색범위,SMALL(IF((찾을값=창고검색),MATCH(ROW(창고검색),ROW(창고검색)),""),ROWS($A$1:E194)),COLUMNS($A$1:E194)),"")</x:f>
        <x:v/>
      </x:c>
      <x:c r="G195" s="8" t="str">
        <x:f t="array" ref="G195:G195">IFERROR(INDEX(창고검색범위,SMALL(IF((찾을값=창고검색),MATCH(ROW(창고검색),ROW(창고검색)),""),ROWS($A$1:F194)),COLUMNS($A$1:F194)),"")</x:f>
        <x:v/>
      </x:c>
      <x:c r="H195" s="8" t="str">
        <x:f t="array" ref="H195:H195">IFERROR(INDEX(창고검색범위,SMALL(IF((찾을값=창고검색),MATCH(ROW(창고검색),ROW(창고검색)),""),ROWS($A$1:G194)),COLUMNS($A$1:G194)),"")</x:f>
        <x:v/>
      </x:c>
      <x:c r="I195" s="117" t="str">
        <x:f t="array" ref="I195:I195">IFERROR(INDEX(창고검색범위,SMALL(IF((찾을값=창고검색),MATCH(ROW(창고검색),ROW(창고검색)),""),ROWS($A$1:H194)),COLUMNS($A$1:H194)),"")</x:f>
        <x:v/>
      </x:c>
      <x:c r="J195" s="118" t="str">
        <x:f t="array" ref="J195:J195">IFERROR(INDEX(창고검색범위,SMALL(IF((찾을값=창고검색),MATCH(ROW(창고검색),ROW(창고검색)),""),ROWS($A$1:I194)),COLUMNS($A$1:I194)),"")</x:f>
        <x:v/>
      </x:c>
    </x:row>
    <x:row r="196" spans="1:10">
      <x:c r="A196" s="172"/>
      <x:c r="B196" s="7" t="str">
        <x:f t="array" ref="B196:B196">IFERROR(INDEX(창고검색범위,SMALL(IF((찾을값=창고검색),MATCH(ROW(창고검색),ROW(창고검색)),""),ROWS($A$1:A195)),COLUMNS($A$1:A195)),"")</x:f>
        <x:v/>
      </x:c>
      <x:c r="C196" s="7" t="str">
        <x:f t="array" ref="C196:C196">IFERROR(INDEX(창고검색범위,SMALL(IF((찾을값=창고검색),MATCH(ROW(창고검색),ROW(창고검색)),""),ROWS($A$1:B195)),COLUMNS($A$1:B195)),"")</x:f>
        <x:v/>
      </x:c>
      <x:c r="D196" s="7" t="str">
        <x:f t="array" ref="D196:D196">IFERROR(INDEX(창고검색범위,SMALL(IF((찾을값=창고검색),MATCH(ROW(창고검색),ROW(창고검색)),""),ROWS($A$1:C195)),COLUMNS($A$1:C195)),"")</x:f>
        <x:v/>
      </x:c>
      <x:c r="E196" s="7" t="str">
        <x:f t="array" ref="E196:E196">IFERROR(INDEX(창고검색범위,SMALL(IF((찾을값=창고검색),MATCH(ROW(창고검색),ROW(창고검색)),""),ROWS($A$1:D195)),COLUMNS($A$1:D195)),"")</x:f>
        <x:v/>
      </x:c>
      <x:c r="F196" s="7" t="str">
        <x:f t="array" ref="F196:F196">IFERROR(INDEX(창고검색범위,SMALL(IF((찾을값=창고검색),MATCH(ROW(창고검색),ROW(창고검색)),""),ROWS($A$1:E195)),COLUMNS($A$1:E195)),"")</x:f>
        <x:v/>
      </x:c>
      <x:c r="G196" s="7" t="str">
        <x:f t="array" ref="G196:G196">IFERROR(INDEX(창고검색범위,SMALL(IF((찾을값=창고검색),MATCH(ROW(창고검색),ROW(창고검색)),""),ROWS($A$1:F195)),COLUMNS($A$1:F195)),"")</x:f>
        <x:v/>
      </x:c>
      <x:c r="H196" s="7" t="str">
        <x:f t="array" ref="H196:H196">IFERROR(INDEX(창고검색범위,SMALL(IF((찾을값=창고검색),MATCH(ROW(창고검색),ROW(창고검색)),""),ROWS($A$1:G195)),COLUMNS($A$1:G195)),"")</x:f>
        <x:v/>
      </x:c>
      <x:c r="I196" s="119" t="str">
        <x:f t="array" ref="I196:I196">IFERROR(INDEX(창고검색범위,SMALL(IF((찾을값=창고검색),MATCH(ROW(창고검색),ROW(창고검색)),""),ROWS($A$1:H195)),COLUMNS($A$1:H195)),"")</x:f>
        <x:v/>
      </x:c>
      <x:c r="J196" s="120" t="str">
        <x:f t="array" ref="J196:J196">IFERROR(INDEX(창고검색범위,SMALL(IF((찾을값=창고검색),MATCH(ROW(창고검색),ROW(창고검색)),""),ROWS($A$1:I195)),COLUMNS($A$1:I195)),"")</x:f>
        <x:v/>
      </x:c>
    </x:row>
    <x:row r="197" spans="1:10">
      <x:c r="A197" s="173"/>
      <x:c r="B197" s="8" t="str">
        <x:f t="array" ref="B197:B197">IFERROR(INDEX(창고검색범위,SMALL(IF((찾을값=창고검색),MATCH(ROW(창고검색),ROW(창고검색)),""),ROWS($A$1:A196)),COLUMNS($A$1:A196)),"")</x:f>
        <x:v/>
      </x:c>
      <x:c r="C197" s="8" t="str">
        <x:f t="array" ref="C197:C197">IFERROR(INDEX(창고검색범위,SMALL(IF((찾을값=창고검색),MATCH(ROW(창고검색),ROW(창고검색)),""),ROWS($A$1:B196)),COLUMNS($A$1:B196)),"")</x:f>
        <x:v/>
      </x:c>
      <x:c r="D197" s="8" t="str">
        <x:f t="array" ref="D197:D197">IFERROR(INDEX(창고검색범위,SMALL(IF((찾을값=창고검색),MATCH(ROW(창고검색),ROW(창고검색)),""),ROWS($A$1:C196)),COLUMNS($A$1:C196)),"")</x:f>
        <x:v/>
      </x:c>
      <x:c r="E197" s="8" t="str">
        <x:f t="array" ref="E197:E197">IFERROR(INDEX(창고검색범위,SMALL(IF((찾을값=창고검색),MATCH(ROW(창고검색),ROW(창고검색)),""),ROWS($A$1:D196)),COLUMNS($A$1:D196)),"")</x:f>
        <x:v/>
      </x:c>
      <x:c r="F197" s="8" t="str">
        <x:f t="array" ref="F197:F197">IFERROR(INDEX(창고검색범위,SMALL(IF((찾을값=창고검색),MATCH(ROW(창고검색),ROW(창고검색)),""),ROWS($A$1:E196)),COLUMNS($A$1:E196)),"")</x:f>
        <x:v/>
      </x:c>
      <x:c r="G197" s="8" t="str">
        <x:f t="array" ref="G197:G197">IFERROR(INDEX(창고검색범위,SMALL(IF((찾을값=창고검색),MATCH(ROW(창고검색),ROW(창고검색)),""),ROWS($A$1:F196)),COLUMNS($A$1:F196)),"")</x:f>
        <x:v/>
      </x:c>
      <x:c r="H197" s="8" t="str">
        <x:f t="array" ref="H197:H197">IFERROR(INDEX(창고검색범위,SMALL(IF((찾을값=창고검색),MATCH(ROW(창고검색),ROW(창고검색)),""),ROWS($A$1:G196)),COLUMNS($A$1:G196)),"")</x:f>
        <x:v/>
      </x:c>
      <x:c r="I197" s="117" t="str">
        <x:f t="array" ref="I197:I197">IFERROR(INDEX(창고검색범위,SMALL(IF((찾을값=창고검색),MATCH(ROW(창고검색),ROW(창고검색)),""),ROWS($A$1:H196)),COLUMNS($A$1:H196)),"")</x:f>
        <x:v/>
      </x:c>
      <x:c r="J197" s="118" t="str">
        <x:f t="array" ref="J197:J197">IFERROR(INDEX(창고검색범위,SMALL(IF((찾을값=창고검색),MATCH(ROW(창고검색),ROW(창고검색)),""),ROWS($A$1:I196)),COLUMNS($A$1:I196)),"")</x:f>
        <x:v/>
      </x:c>
    </x:row>
    <x:row r="198" spans="1:10">
      <x:c r="A198" s="174"/>
      <x:c r="B198" s="7" t="str">
        <x:f t="array" ref="B198:B198">IFERROR(INDEX(창고검색범위,SMALL(IF((찾을값=창고검색),MATCH(ROW(창고검색),ROW(창고검색)),""),ROWS($A$1:A197)),COLUMNS($A$1:A197)),"")</x:f>
        <x:v/>
      </x:c>
      <x:c r="C198" s="7" t="str">
        <x:f t="array" ref="C198:C198">IFERROR(INDEX(창고검색범위,SMALL(IF((찾을값=창고검색),MATCH(ROW(창고검색),ROW(창고검색)),""),ROWS($A$1:B197)),COLUMNS($A$1:B197)),"")</x:f>
        <x:v/>
      </x:c>
      <x:c r="D198" s="7" t="str">
        <x:f t="array" ref="D198:D198">IFERROR(INDEX(창고검색범위,SMALL(IF((찾을값=창고검색),MATCH(ROW(창고검색),ROW(창고검색)),""),ROWS($A$1:C197)),COLUMNS($A$1:C197)),"")</x:f>
        <x:v/>
      </x:c>
      <x:c r="E198" s="7" t="str">
        <x:f t="array" ref="E198:E198">IFERROR(INDEX(창고검색범위,SMALL(IF((찾을값=창고검색),MATCH(ROW(창고검색),ROW(창고검색)),""),ROWS($A$1:D197)),COLUMNS($A$1:D197)),"")</x:f>
        <x:v/>
      </x:c>
      <x:c r="F198" s="7" t="str">
        <x:f t="array" ref="F198:F198">IFERROR(INDEX(창고검색범위,SMALL(IF((찾을값=창고검색),MATCH(ROW(창고검색),ROW(창고검색)),""),ROWS($A$1:E197)),COLUMNS($A$1:E197)),"")</x:f>
        <x:v/>
      </x:c>
      <x:c r="G198" s="7" t="str">
        <x:f t="array" ref="G198:G198">IFERROR(INDEX(창고검색범위,SMALL(IF((찾을값=창고검색),MATCH(ROW(창고검색),ROW(창고검색)),""),ROWS($A$1:F197)),COLUMNS($A$1:F197)),"")</x:f>
        <x:v/>
      </x:c>
      <x:c r="H198" s="7" t="str">
        <x:f t="array" ref="H198:H198">IFERROR(INDEX(창고검색범위,SMALL(IF((찾을값=창고검색),MATCH(ROW(창고검색),ROW(창고검색)),""),ROWS($A$1:G197)),COLUMNS($A$1:G197)),"")</x:f>
        <x:v/>
      </x:c>
      <x:c r="I198" s="119" t="str">
        <x:f t="array" ref="I198:I198">IFERROR(INDEX(창고검색범위,SMALL(IF((찾을값=창고검색),MATCH(ROW(창고검색),ROW(창고검색)),""),ROWS($A$1:H197)),COLUMNS($A$1:H197)),"")</x:f>
        <x:v/>
      </x:c>
      <x:c r="J198" s="120" t="str">
        <x:f t="array" ref="J198:J198">IFERROR(INDEX(창고검색범위,SMALL(IF((찾을값=창고검색),MATCH(ROW(창고검색),ROW(창고검색)),""),ROWS($A$1:I197)),COLUMNS($A$1:I197)),"")</x:f>
        <x:v/>
      </x:c>
    </x:row>
  </x:sheetData>
  <x:mergeCells count="1">
    <x:mergeCell ref="A3:A198"/>
  </x:mergeCells>
  <x:conditionalFormatting sqref="A2:A2">
    <x:cfRule type="colorScale" priority="1">
      <x:colorScale>
        <x:cfvo type="min"/>
        <x:cfvo type="max"/>
        <x:color rgb="ff57bb8a"/>
        <x:color rgb="ffffffff"/>
      </x:colorScale>
    </x:cfRule>
  </x:conditionalFormatting>
  <x:dataValidations count="1">
    <x:dataValidation type="list" allowBlank="1" sqref="A2:A2">
      <x:formula1>재고장!$G$2:$G198</x:formula1>
    </x:dataValidation>
  </x:dataValidation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품목검색</vt:lpstr>
      <vt:lpstr>재고장</vt:lpstr>
      <vt:lpstr>시트107</vt:lpstr>
      <vt:lpstr>집중판매</vt:lpstr>
      <vt:lpstr>창고검색</vt:lpstr>
    </vt:vector>
  </ep:TitlesOfParts>
  <ep:TotalTime>28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cp:revision>8</cp:revision>
  <dcterms:created xsi:type="dcterms:W3CDTF">2026-04-23T07:02:44.215</dcterms:created>
  <dcterms:modified xsi:type="dcterms:W3CDTF">2026-04-23T08:10:25.147</dcterms:modified>
  <cp:version>1100.0100.01</cp:version>
</cp:coreProperties>
</file>